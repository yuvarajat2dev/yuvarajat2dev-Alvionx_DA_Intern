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rwn_\OneDrive\Desktop\New folder\"/>
    </mc:Choice>
  </mc:AlternateContent>
  <xr:revisionPtr revIDLastSave="0" documentId="8_{810775C9-F5DB-41B2-9EC2-48131E6CC1C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Sales_Data" sheetId="2" r:id="rId2"/>
    <sheet name="Product_Look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4" i="2"/>
  <c r="D60" i="2"/>
  <c r="D59" i="2"/>
  <c r="D58" i="2"/>
  <c r="D57" i="2"/>
  <c r="D56" i="2"/>
  <c r="H48" i="2"/>
  <c r="H52" i="2"/>
  <c r="H53" i="2"/>
  <c r="H38" i="2"/>
  <c r="H39" i="2"/>
  <c r="H40" i="2"/>
  <c r="H41" i="2"/>
  <c r="H42" i="2"/>
  <c r="H43" i="2"/>
  <c r="H44" i="2"/>
  <c r="H45" i="2"/>
  <c r="H46" i="2"/>
  <c r="H47" i="2"/>
  <c r="H49" i="2"/>
  <c r="H50" i="2"/>
  <c r="H51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4" i="2"/>
</calcChain>
</file>

<file path=xl/sharedStrings.xml><?xml version="1.0" encoding="utf-8"?>
<sst xmlns="http://schemas.openxmlformats.org/spreadsheetml/2006/main" count="280" uniqueCount="139">
  <si>
    <t>AlvionX Data Analytics Internship</t>
  </si>
  <si>
    <t>Week 1 - Session 1: Excel Fundamentals &amp; Formulas | Practice Dataset</t>
  </si>
  <si>
    <t>Sheet</t>
  </si>
  <si>
    <t>What it contains / What to do</t>
  </si>
  <si>
    <t>Sales_Data</t>
  </si>
  <si>
    <t>50 rows of raw retail sales transactions. Use this sheet for all practice tasks below.</t>
  </si>
  <si>
    <t>Product_Lookup</t>
  </si>
  <si>
    <t>Reference table of Product ID -&gt; Product Name, Category, and Unit Price. Used for VLOOKUP / INDEX-MATCH practice.</t>
  </si>
  <si>
    <t>Task 1 - Core Formulas (Sales_Data sheet)</t>
  </si>
  <si>
    <t>In cell H53, calculate Total Sales for each row = Quantity x Unit Price (fill H4:H53).</t>
  </si>
  <si>
    <t>In J2 area (or a blank cell), calculate: Total Revenue using SUM</t>
  </si>
  <si>
    <t>Calculate Average Sale Value using AVERAGE</t>
  </si>
  <si>
    <t>Count total number of transactions using COUNT / COUNTA</t>
  </si>
  <si>
    <t>Find the Highest and Lowest sale value using MAX and MIN</t>
  </si>
  <si>
    <t>Task 2 - Logical Functions (column I: Performance)</t>
  </si>
  <si>
    <t>Use nested IF to classify each transaction:</t>
  </si>
  <si>
    <t xml:space="preserve">   Total Sales &gt; 20000 -&gt; 'High'</t>
  </si>
  <si>
    <t xml:space="preserve">   Total Sales between 8000 and 20000 -&gt; 'Medium'</t>
  </si>
  <si>
    <t xml:space="preserve">   Total Sales &lt; 8000 -&gt; 'Low'</t>
  </si>
  <si>
    <t>Use AND/OR: Flag as 'Priority Follow-up' if Region = 'North' AND Total Sales &lt; 8000</t>
  </si>
  <si>
    <t>Task 3 - Lookup Functions (column J: Category)</t>
  </si>
  <si>
    <t>Use VLOOKUP to pull the Category for each Product ID from the Product_Lookup sheet.</t>
  </si>
  <si>
    <t>Reference cells</t>
  </si>
  <si>
    <t>Row 4 in Sales_Data has been left as an example - check the formula bar on H4 is blank for you to fill; a solved example exists in row 3 notes below for guidance only.</t>
  </si>
  <si>
    <t>Retail Sales Analysis - Practice Dataset</t>
  </si>
  <si>
    <t>Fill in Total Sales, Performance, and Category columns using the formulas from Session 1</t>
  </si>
  <si>
    <t>Summary Stats (fill using formulas)</t>
  </si>
  <si>
    <t>Transaction ID</t>
  </si>
  <si>
    <t>Date</t>
  </si>
  <si>
    <t>Product ID</t>
  </si>
  <si>
    <t>Region</t>
  </si>
  <si>
    <t>Salesperson</t>
  </si>
  <si>
    <t>Quantity</t>
  </si>
  <si>
    <t>Unit Price</t>
  </si>
  <si>
    <t>Total Sales</t>
  </si>
  <si>
    <t>Performance</t>
  </si>
  <si>
    <t>Category (VLOOKUP)</t>
  </si>
  <si>
    <t>Category (INDEX-MATCH)</t>
  </si>
  <si>
    <t>TXN1000</t>
  </si>
  <si>
    <t>P102</t>
  </si>
  <si>
    <t>North</t>
  </si>
  <si>
    <t>Imran Khan</t>
  </si>
  <si>
    <t>TXN1001</t>
  </si>
  <si>
    <t>P103</t>
  </si>
  <si>
    <t>Vivek Rao</t>
  </si>
  <si>
    <t>TXN1002</t>
  </si>
  <si>
    <t>P107</t>
  </si>
  <si>
    <t>Aarav Sharma</t>
  </si>
  <si>
    <t>TXN1003</t>
  </si>
  <si>
    <t>P104</t>
  </si>
  <si>
    <t>TXN1004</t>
  </si>
  <si>
    <t>P109</t>
  </si>
  <si>
    <t>West</t>
  </si>
  <si>
    <t>Sneha Kapoor</t>
  </si>
  <si>
    <t>TXN1005</t>
  </si>
  <si>
    <t>P105</t>
  </si>
  <si>
    <t>Rohit Nair</t>
  </si>
  <si>
    <t>TXN1006</t>
  </si>
  <si>
    <t>P106</t>
  </si>
  <si>
    <t>East</t>
  </si>
  <si>
    <t>TXN1007</t>
  </si>
  <si>
    <t>Priya Verma</t>
  </si>
  <si>
    <t>TXN1008</t>
  </si>
  <si>
    <t>Ananya Das</t>
  </si>
  <si>
    <t>TXN1009</t>
  </si>
  <si>
    <t>P101</t>
  </si>
  <si>
    <t>TXN1010</t>
  </si>
  <si>
    <t>TXN1011</t>
  </si>
  <si>
    <t>P110</t>
  </si>
  <si>
    <t>TXN1012</t>
  </si>
  <si>
    <t>TXN1013</t>
  </si>
  <si>
    <t>South</t>
  </si>
  <si>
    <t>TXN1014</t>
  </si>
  <si>
    <t>P108</t>
  </si>
  <si>
    <t>TXN1015</t>
  </si>
  <si>
    <t>TXN1016</t>
  </si>
  <si>
    <t>TXN1017</t>
  </si>
  <si>
    <t>Meena Iyer</t>
  </si>
  <si>
    <t>TXN1018</t>
  </si>
  <si>
    <t>TXN1019</t>
  </si>
  <si>
    <t>TXN1020</t>
  </si>
  <si>
    <t>Fatima Sheikh</t>
  </si>
  <si>
    <t>TXN1021</t>
  </si>
  <si>
    <t>TXN1022</t>
  </si>
  <si>
    <t>TXN1023</t>
  </si>
  <si>
    <t>TXN1024</t>
  </si>
  <si>
    <t>TXN1025</t>
  </si>
  <si>
    <t>TXN1026</t>
  </si>
  <si>
    <t>Karan Malhotra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</si>
  <si>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</si>
  <si>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</si>
  <si>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</si>
  <si>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</si>
  <si>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</si>
  <si>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</si>
  <si>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</si>
  <si>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</si>
  <si>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</si>
  <si>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</si>
  <si>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</si>
  <si>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</si>
  <si>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</si>
  <si>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</si>
  <si>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</si>
  <si>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</si>
  <si>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</si>
  <si>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</si>
  <si>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</si>
  <si>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</si>
  <si>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</si>
  <si>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</si>
  <si>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</si>
  <si>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SUMMARY STATISTICS (Task 1)</t>
  </si>
  <si>
    <t>Total Revenue</t>
  </si>
  <si>
    <t>Average Sale Value</t>
  </si>
  <si>
    <t>Number of Transactions</t>
  </si>
  <si>
    <t>Highest Sale</t>
  </si>
  <si>
    <t>Lowest Sale</t>
  </si>
  <si>
    <t>Product Lookup Table</t>
  </si>
  <si>
    <t>Used for VLOOKUP / INDEX-MATCH practice in Sales_Data</t>
  </si>
  <si>
    <t>Product Name</t>
  </si>
  <si>
    <t>Category</t>
  </si>
  <si>
    <t>Wireless Mouse Pro</t>
  </si>
  <si>
    <t>Electronics</t>
  </si>
  <si>
    <t>Cotton T-Shirt</t>
  </si>
  <si>
    <t>Apparel</t>
  </si>
  <si>
    <t>Air Fryer XL</t>
  </si>
  <si>
    <t>Home Appliances</t>
  </si>
  <si>
    <t>Bluetooth Headphones</t>
  </si>
  <si>
    <t>Notebook Set</t>
  </si>
  <si>
    <t>Stationery</t>
  </si>
  <si>
    <t>Office Chair</t>
  </si>
  <si>
    <t>Furniture</t>
  </si>
  <si>
    <t>Ceramic Mug</t>
  </si>
  <si>
    <t>Home &amp; Kitchen</t>
  </si>
  <si>
    <t>Study Table Lamp</t>
  </si>
  <si>
    <t>Running Shoes</t>
  </si>
  <si>
    <t>Backpack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</si>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</sst>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0"/>
      <color rgb="FF595959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  <font>
      <b/>
      <sz val="11"/>
      <color rgb="FF1F4E78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3" fontId="4" fillId="0" borderId="1" xfId="0" applyNumberFormat="1" applyFont="1" applyBorder="1"/>
    <xf numFmtId="0" fontId="7" fillId="0" borderId="0" xfId="0" applyFont="1"/>
    <xf numFmtId="0" fontId="8" fillId="3" borderId="0" xfId="0" applyFont="1" applyFill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topLeftCell="A19" workbookViewId="0">
      <selection activeCell="C25" sqref="C25"/>
    </sheetView>
  </sheetViews>
  <sheetFormatPr defaultRowHeight="15" x14ac:dyDescent="0.25"/>
  <cols>
    <col min="1" max="1" width="3" customWidth="1"/>
    <col min="2" max="2" width="42" customWidth="1"/>
    <col min="3" max="3" width="70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ht="27.95" customHeight="1" x14ac:dyDescent="0.25">
      <c r="B5" s="3" t="s">
        <v>2</v>
      </c>
      <c r="C5" s="4" t="s">
        <v>3</v>
      </c>
    </row>
    <row r="6" spans="2:3" ht="27.95" customHeight="1" x14ac:dyDescent="0.25">
      <c r="B6" s="3" t="s">
        <v>4</v>
      </c>
      <c r="C6" s="4" t="s">
        <v>5</v>
      </c>
    </row>
    <row r="7" spans="2:3" ht="27.95" customHeight="1" x14ac:dyDescent="0.25">
      <c r="B7" s="3" t="s">
        <v>6</v>
      </c>
      <c r="C7" s="4" t="s">
        <v>7</v>
      </c>
    </row>
    <row r="8" spans="2:3" ht="14.1" customHeight="1" x14ac:dyDescent="0.25">
      <c r="B8" s="5"/>
      <c r="C8" s="4"/>
    </row>
    <row r="9" spans="2:3" ht="14.1" customHeight="1" x14ac:dyDescent="0.25">
      <c r="B9" s="3" t="s">
        <v>8</v>
      </c>
      <c r="C9" s="4"/>
    </row>
    <row r="10" spans="2:3" ht="27.95" customHeight="1" x14ac:dyDescent="0.25">
      <c r="B10" s="5"/>
      <c r="C10" s="4" t="s">
        <v>9</v>
      </c>
    </row>
    <row r="11" spans="2:3" ht="27.95" customHeight="1" x14ac:dyDescent="0.25">
      <c r="B11" s="5"/>
      <c r="C11" s="4" t="s">
        <v>10</v>
      </c>
    </row>
    <row r="12" spans="2:3" ht="27.95" customHeight="1" x14ac:dyDescent="0.25">
      <c r="B12" s="5"/>
      <c r="C12" s="4" t="s">
        <v>11</v>
      </c>
    </row>
    <row r="13" spans="2:3" ht="27.95" customHeight="1" x14ac:dyDescent="0.25">
      <c r="B13" s="5"/>
      <c r="C13" s="4" t="s">
        <v>12</v>
      </c>
    </row>
    <row r="14" spans="2:3" ht="27.95" customHeight="1" x14ac:dyDescent="0.25">
      <c r="B14" s="5"/>
      <c r="C14" s="4" t="s">
        <v>13</v>
      </c>
    </row>
    <row r="15" spans="2:3" ht="14.1" customHeight="1" x14ac:dyDescent="0.25">
      <c r="B15" s="5"/>
      <c r="C15" s="4"/>
    </row>
    <row r="16" spans="2:3" ht="14.1" customHeight="1" x14ac:dyDescent="0.25">
      <c r="B16" s="3" t="s">
        <v>14</v>
      </c>
      <c r="C16" s="4"/>
    </row>
    <row r="17" spans="2:3" ht="27.95" customHeight="1" x14ac:dyDescent="0.25">
      <c r="B17" s="5"/>
      <c r="C17" s="4" t="s">
        <v>15</v>
      </c>
    </row>
    <row r="18" spans="2:3" ht="27.95" customHeight="1" x14ac:dyDescent="0.25">
      <c r="B18" s="5"/>
      <c r="C18" s="4" t="s">
        <v>16</v>
      </c>
    </row>
    <row r="19" spans="2:3" ht="27.95" customHeight="1" x14ac:dyDescent="0.25">
      <c r="B19" s="5"/>
      <c r="C19" s="4" t="s">
        <v>17</v>
      </c>
    </row>
    <row r="20" spans="2:3" ht="27.95" customHeight="1" x14ac:dyDescent="0.25">
      <c r="B20" s="5"/>
      <c r="C20" s="4" t="s">
        <v>18</v>
      </c>
    </row>
    <row r="21" spans="2:3" ht="27.95" customHeight="1" x14ac:dyDescent="0.25">
      <c r="B21" s="5"/>
      <c r="C21" s="4" t="s">
        <v>19</v>
      </c>
    </row>
    <row r="22" spans="2:3" ht="14.1" customHeight="1" x14ac:dyDescent="0.25">
      <c r="B22" s="5"/>
      <c r="C22" s="4"/>
    </row>
    <row r="23" spans="2:3" ht="14.1" customHeight="1" x14ac:dyDescent="0.25">
      <c r="B23" s="3" t="s">
        <v>20</v>
      </c>
      <c r="C23" s="4"/>
    </row>
    <row r="24" spans="2:3" ht="27.95" customHeight="1" x14ac:dyDescent="0.25">
      <c r="B24" s="5"/>
      <c r="C24" s="4" t="s">
        <v>21</v>
      </c>
    </row>
    <row r="25" spans="2:3" ht="27.95" customHeight="1" x14ac:dyDescent="0.25">
      <c r="B25" s="5"/>
      <c r="C25" s="4"/>
    </row>
    <row r="26" spans="2:3" ht="14.1" customHeight="1" x14ac:dyDescent="0.25">
      <c r="B26" s="5"/>
      <c r="C26" s="4"/>
    </row>
    <row r="27" spans="2:3" ht="27.95" customHeight="1" x14ac:dyDescent="0.25">
      <c r="B27" s="3" t="s">
        <v>22</v>
      </c>
      <c r="C27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showGridLines="0" tabSelected="1" workbookViewId="0">
      <pane ySplit="3" topLeftCell="A43" activePane="bottomLeft" state="frozen"/>
      <selection pane="bottomLeft" activeCell="J55" sqref="J55"/>
    </sheetView>
  </sheetViews>
  <sheetFormatPr defaultRowHeight="15" x14ac:dyDescent="0.25"/>
  <cols>
    <col min="1" max="1" width="14" customWidth="1"/>
    <col min="2" max="2" width="12" customWidth="1"/>
    <col min="3" max="3" width="11" customWidth="1"/>
    <col min="4" max="4" width="10" customWidth="1"/>
    <col min="5" max="5" width="18" customWidth="1"/>
    <col min="6" max="6" width="10" customWidth="1"/>
    <col min="7" max="7" width="11" customWidth="1"/>
    <col min="8" max="8" width="12" customWidth="1"/>
    <col min="9" max="9" width="14" customWidth="1"/>
    <col min="10" max="11" width="20" bestFit="1" customWidth="1"/>
  </cols>
  <sheetData>
    <row r="1" spans="1:12" ht="20.25" x14ac:dyDescent="0.3">
      <c r="A1" s="1" t="s">
        <v>24</v>
      </c>
    </row>
    <row r="2" spans="1:12" x14ac:dyDescent="0.25">
      <c r="A2" s="2" t="s">
        <v>25</v>
      </c>
      <c r="J2" s="6" t="s">
        <v>26</v>
      </c>
    </row>
    <row r="3" spans="1:12" ht="30" x14ac:dyDescent="0.25">
      <c r="A3" s="7" t="s">
        <v>27</v>
      </c>
      <c r="B3" s="7" t="s">
        <v>28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34</v>
      </c>
      <c r="I3" s="7" t="s">
        <v>35</v>
      </c>
      <c r="J3" s="7" t="s">
        <v>36</v>
      </c>
      <c r="K3" s="7" t="s">
        <v>37</v>
      </c>
      <c r="L3" s="14"/>
    </row>
    <row r="4" spans="1:12" x14ac:dyDescent="0.25">
      <c r="A4" s="8" t="s">
        <v>38</v>
      </c>
      <c r="B4" s="9">
        <v>46194</v>
      </c>
      <c r="C4" s="8" t="s">
        <v>39</v>
      </c>
      <c r="D4" s="8" t="s">
        <v>40</v>
      </c>
      <c r="E4" s="8" t="s">
        <v>41</v>
      </c>
      <c r="F4" s="8">
        <v>8</v>
      </c>
      <c r="G4" s="10">
        <v>450</v>
      </c>
      <c r="H4" s="8">
        <f>PRODUCT(F4,G4)</f>
        <v>3600</v>
      </c>
      <c r="I4" s="8" t="str">
        <f>IF(H4 &gt;=20000,"High",IF(H4 &lt;=8000,"Low","Medium"))</f>
        <v>Low</v>
      </c>
      <c r="J4" s="8" t="str">
        <f>VLOOKUP(C4,Product_Lookup!A:B,2,FALSE)</f>
        <v>Cotton T-Shirt</v>
      </c>
      <c r="K4" s="8" t="str">
        <f>INDEX(Product_Lookup!B:B,MATCH(C4,Product_Lookup!A:A,0))</f>
        <v>Cotton T-Shirt</v>
      </c>
    </row>
    <row r="5" spans="1:12" x14ac:dyDescent="0.25">
      <c r="A5" s="8" t="s">
        <v>42</v>
      </c>
      <c r="B5" s="9">
        <v>46181</v>
      </c>
      <c r="C5" s="8" t="s">
        <v>43</v>
      </c>
      <c r="D5" s="8" t="s">
        <v>40</v>
      </c>
      <c r="E5" s="8" t="s">
        <v>44</v>
      </c>
      <c r="F5" s="8">
        <v>3</v>
      </c>
      <c r="G5" s="10">
        <v>3200</v>
      </c>
      <c r="H5" s="8">
        <f t="shared" ref="H5:H53" si="0">PRODUCT(F5,G5)</f>
        <v>9600</v>
      </c>
      <c r="I5" s="8" t="str">
        <f t="shared" ref="I5:I53" si="1">IF(H5 &gt;=20000,"High",IF(H5 &lt;=8000,"Low","Medium"))</f>
        <v>Medium</v>
      </c>
      <c r="J5" s="8" t="str">
        <f>VLOOKUP(C5,Product_Lookup!A:B,2,FALSE)</f>
        <v>Air Fryer XL</v>
      </c>
      <c r="K5" s="8" t="str">
        <f>INDEX(Product_Lookup!B:B,MATCH(C5,Product_Lookup!A:A,0))</f>
        <v>Air Fryer XL</v>
      </c>
    </row>
    <row r="6" spans="1:12" x14ac:dyDescent="0.25">
      <c r="A6" s="8" t="s">
        <v>45</v>
      </c>
      <c r="B6" s="9">
        <v>46192</v>
      </c>
      <c r="C6" s="8" t="s">
        <v>46</v>
      </c>
      <c r="D6" s="8" t="s">
        <v>40</v>
      </c>
      <c r="E6" s="8" t="s">
        <v>47</v>
      </c>
      <c r="F6" s="8">
        <v>3</v>
      </c>
      <c r="G6" s="10">
        <v>75</v>
      </c>
      <c r="H6" s="8">
        <f t="shared" si="0"/>
        <v>225</v>
      </c>
      <c r="I6" s="8" t="str">
        <f t="shared" si="1"/>
        <v>Low</v>
      </c>
      <c r="J6" s="8" t="str">
        <f>VLOOKUP(C6,Product_Lookup!A:B,2,FALSE)</f>
        <v>Ceramic Mug</v>
      </c>
      <c r="K6" s="8" t="str">
        <f>INDEX(Product_Lookup!B:B,MATCH(C6,Product_Lookup!A:A,0))</f>
        <v>Ceramic Mug</v>
      </c>
    </row>
    <row r="7" spans="1:12" x14ac:dyDescent="0.25">
      <c r="A7" s="8" t="s">
        <v>48</v>
      </c>
      <c r="B7" s="9">
        <v>46180</v>
      </c>
      <c r="C7" s="8" t="s">
        <v>49</v>
      </c>
      <c r="D7" s="8" t="s">
        <v>40</v>
      </c>
      <c r="E7" s="8" t="s">
        <v>44</v>
      </c>
      <c r="F7" s="8">
        <v>7</v>
      </c>
      <c r="G7" s="10">
        <v>899</v>
      </c>
      <c r="H7" s="8">
        <f t="shared" si="0"/>
        <v>6293</v>
      </c>
      <c r="I7" s="8" t="str">
        <f t="shared" si="1"/>
        <v>Low</v>
      </c>
      <c r="J7" s="8" t="str">
        <f>VLOOKUP(C7,Product_Lookup!A:B,2,FALSE)</f>
        <v>Bluetooth Headphones</v>
      </c>
      <c r="K7" s="8" t="str">
        <f>INDEX(Product_Lookup!B:B,MATCH(C7,Product_Lookup!A:A,0))</f>
        <v>Bluetooth Headphones</v>
      </c>
    </row>
    <row r="8" spans="1:12" x14ac:dyDescent="0.25">
      <c r="A8" s="8" t="s">
        <v>50</v>
      </c>
      <c r="B8" s="9">
        <v>46196</v>
      </c>
      <c r="C8" s="8" t="s">
        <v>51</v>
      </c>
      <c r="D8" s="8" t="s">
        <v>52</v>
      </c>
      <c r="E8" s="8" t="s">
        <v>53</v>
      </c>
      <c r="F8" s="8">
        <v>15</v>
      </c>
      <c r="G8" s="10">
        <v>620</v>
      </c>
      <c r="H8" s="8">
        <f t="shared" si="0"/>
        <v>9300</v>
      </c>
      <c r="I8" s="8" t="str">
        <f t="shared" si="1"/>
        <v>Medium</v>
      </c>
      <c r="J8" s="8" t="str">
        <f>VLOOKUP(C8,Product_Lookup!A:B,2,FALSE)</f>
        <v>Running Shoes</v>
      </c>
      <c r="K8" s="8" t="str">
        <f>INDEX(Product_Lookup!B:B,MATCH(C8,Product_Lookup!A:A,0))</f>
        <v>Running Shoes</v>
      </c>
    </row>
    <row r="9" spans="1:12" x14ac:dyDescent="0.25">
      <c r="A9" s="8" t="s">
        <v>54</v>
      </c>
      <c r="B9" s="9">
        <v>46192</v>
      </c>
      <c r="C9" s="8" t="s">
        <v>55</v>
      </c>
      <c r="D9" s="8" t="s">
        <v>40</v>
      </c>
      <c r="E9" s="8" t="s">
        <v>56</v>
      </c>
      <c r="F9" s="8">
        <v>23</v>
      </c>
      <c r="G9" s="10">
        <v>150</v>
      </c>
      <c r="H9" s="8">
        <f t="shared" si="0"/>
        <v>3450</v>
      </c>
      <c r="I9" s="8" t="str">
        <f t="shared" si="1"/>
        <v>Low</v>
      </c>
      <c r="J9" s="8" t="str">
        <f>VLOOKUP(C9,Product_Lookup!A:B,2,FALSE)</f>
        <v>Notebook Set</v>
      </c>
      <c r="K9" s="8" t="str">
        <f>INDEX(Product_Lookup!B:B,MATCH(C9,Product_Lookup!A:A,0))</f>
        <v>Notebook Set</v>
      </c>
    </row>
    <row r="10" spans="1:12" x14ac:dyDescent="0.25">
      <c r="A10" s="8" t="s">
        <v>57</v>
      </c>
      <c r="B10" s="9">
        <v>46187</v>
      </c>
      <c r="C10" s="8" t="s">
        <v>58</v>
      </c>
      <c r="D10" s="8" t="s">
        <v>59</v>
      </c>
      <c r="E10" s="8" t="s">
        <v>56</v>
      </c>
      <c r="F10" s="8">
        <v>7</v>
      </c>
      <c r="G10" s="10">
        <v>2500</v>
      </c>
      <c r="H10" s="8">
        <f t="shared" si="0"/>
        <v>17500</v>
      </c>
      <c r="I10" s="8" t="str">
        <f t="shared" si="1"/>
        <v>Medium</v>
      </c>
      <c r="J10" s="8" t="str">
        <f>VLOOKUP(C10,Product_Lookup!A:B,2,FALSE)</f>
        <v>Office Chair</v>
      </c>
      <c r="K10" s="8" t="str">
        <f>INDEX(Product_Lookup!B:B,MATCH(C10,Product_Lookup!A:A,0))</f>
        <v>Office Chair</v>
      </c>
    </row>
    <row r="11" spans="1:12" x14ac:dyDescent="0.25">
      <c r="A11" s="8" t="s">
        <v>60</v>
      </c>
      <c r="B11" s="9">
        <v>46198</v>
      </c>
      <c r="C11" s="8" t="s">
        <v>58</v>
      </c>
      <c r="D11" s="8" t="s">
        <v>40</v>
      </c>
      <c r="E11" s="8" t="s">
        <v>61</v>
      </c>
      <c r="F11" s="8">
        <v>13</v>
      </c>
      <c r="G11" s="10">
        <v>2500</v>
      </c>
      <c r="H11" s="8">
        <f t="shared" si="0"/>
        <v>32500</v>
      </c>
      <c r="I11" s="8" t="str">
        <f t="shared" si="1"/>
        <v>High</v>
      </c>
      <c r="J11" s="8" t="str">
        <f>VLOOKUP(C11,Product_Lookup!A:B,2,FALSE)</f>
        <v>Office Chair</v>
      </c>
      <c r="K11" s="8" t="str">
        <f>INDEX(Product_Lookup!B:B,MATCH(C11,Product_Lookup!A:A,0))</f>
        <v>Office Chair</v>
      </c>
    </row>
    <row r="12" spans="1:12" x14ac:dyDescent="0.25">
      <c r="A12" s="8" t="s">
        <v>62</v>
      </c>
      <c r="B12" s="9">
        <v>46177</v>
      </c>
      <c r="C12" s="8" t="s">
        <v>58</v>
      </c>
      <c r="D12" s="8" t="s">
        <v>59</v>
      </c>
      <c r="E12" s="8" t="s">
        <v>63</v>
      </c>
      <c r="F12" s="8">
        <v>9</v>
      </c>
      <c r="G12" s="10">
        <v>2500</v>
      </c>
      <c r="H12" s="8">
        <f t="shared" si="0"/>
        <v>22500</v>
      </c>
      <c r="I12" s="8" t="str">
        <f t="shared" si="1"/>
        <v>High</v>
      </c>
      <c r="J12" s="8" t="str">
        <f>VLOOKUP(C12,Product_Lookup!A:B,2,FALSE)</f>
        <v>Office Chair</v>
      </c>
      <c r="K12" s="8" t="str">
        <f>INDEX(Product_Lookup!B:B,MATCH(C12,Product_Lookup!A:A,0))</f>
        <v>Office Chair</v>
      </c>
    </row>
    <row r="13" spans="1:12" x14ac:dyDescent="0.25">
      <c r="A13" s="8" t="s">
        <v>64</v>
      </c>
      <c r="B13" s="9">
        <v>46199</v>
      </c>
      <c r="C13" s="8" t="s">
        <v>65</v>
      </c>
      <c r="D13" s="8" t="s">
        <v>52</v>
      </c>
      <c r="E13" s="8" t="s">
        <v>44</v>
      </c>
      <c r="F13" s="8">
        <v>4</v>
      </c>
      <c r="G13" s="10">
        <v>1200</v>
      </c>
      <c r="H13" s="8">
        <f t="shared" si="0"/>
        <v>4800</v>
      </c>
      <c r="I13" s="8" t="str">
        <f t="shared" si="1"/>
        <v>Low</v>
      </c>
      <c r="J13" s="8" t="str">
        <f>VLOOKUP(C13,Product_Lookup!A:B,2,FALSE)</f>
        <v>Wireless Mouse Pro</v>
      </c>
      <c r="K13" s="8" t="str">
        <f>INDEX(Product_Lookup!B:B,MATCH(C13,Product_Lookup!A:A,0))</f>
        <v>Wireless Mouse Pro</v>
      </c>
    </row>
    <row r="14" spans="1:12" x14ac:dyDescent="0.25">
      <c r="A14" s="8" t="s">
        <v>66</v>
      </c>
      <c r="B14" s="9">
        <v>46203</v>
      </c>
      <c r="C14" s="8" t="s">
        <v>46</v>
      </c>
      <c r="D14" s="8" t="s">
        <v>40</v>
      </c>
      <c r="E14" s="8" t="s">
        <v>44</v>
      </c>
      <c r="F14" s="8">
        <v>10</v>
      </c>
      <c r="G14" s="10">
        <v>75</v>
      </c>
      <c r="H14" s="8">
        <f t="shared" si="0"/>
        <v>750</v>
      </c>
      <c r="I14" s="8" t="str">
        <f t="shared" si="1"/>
        <v>Low</v>
      </c>
      <c r="J14" s="8" t="str">
        <f>VLOOKUP(C14,Product_Lookup!A:B,2,FALSE)</f>
        <v>Ceramic Mug</v>
      </c>
      <c r="K14" s="8" t="str">
        <f>INDEX(Product_Lookup!B:B,MATCH(C14,Product_Lookup!A:A,0))</f>
        <v>Ceramic Mug</v>
      </c>
    </row>
    <row r="15" spans="1:12" x14ac:dyDescent="0.25">
      <c r="A15" s="8" t="s">
        <v>67</v>
      </c>
      <c r="B15" s="9">
        <v>46200</v>
      </c>
      <c r="C15" s="8" t="s">
        <v>68</v>
      </c>
      <c r="D15" s="8" t="s">
        <v>59</v>
      </c>
      <c r="E15" s="8" t="s">
        <v>63</v>
      </c>
      <c r="F15" s="8">
        <v>7</v>
      </c>
      <c r="G15" s="10">
        <v>999</v>
      </c>
      <c r="H15" s="8">
        <f t="shared" si="0"/>
        <v>6993</v>
      </c>
      <c r="I15" s="8" t="str">
        <f t="shared" si="1"/>
        <v>Low</v>
      </c>
      <c r="J15" s="8" t="str">
        <f>VLOOKUP(C15,Product_Lookup!A:B,2,FALSE)</f>
        <v>Backpack</v>
      </c>
      <c r="K15" s="8" t="str">
        <f>INDEX(Product_Lookup!B:B,MATCH(C15,Product_Lookup!A:A,0))</f>
        <v>Backpack</v>
      </c>
    </row>
    <row r="16" spans="1:12" x14ac:dyDescent="0.25">
      <c r="A16" s="8" t="s">
        <v>69</v>
      </c>
      <c r="B16" s="9">
        <v>46196</v>
      </c>
      <c r="C16" s="8" t="s">
        <v>39</v>
      </c>
      <c r="D16" s="8" t="s">
        <v>40</v>
      </c>
      <c r="E16" s="8" t="s">
        <v>53</v>
      </c>
      <c r="F16" s="8">
        <v>25</v>
      </c>
      <c r="G16" s="10">
        <v>450</v>
      </c>
      <c r="H16" s="8">
        <f t="shared" si="0"/>
        <v>11250</v>
      </c>
      <c r="I16" s="8" t="str">
        <f t="shared" si="1"/>
        <v>Medium</v>
      </c>
      <c r="J16" s="8" t="str">
        <f>VLOOKUP(C16,Product_Lookup!A:B,2,FALSE)</f>
        <v>Cotton T-Shirt</v>
      </c>
      <c r="K16" s="8" t="str">
        <f>INDEX(Product_Lookup!B:B,MATCH(C16,Product_Lookup!A:A,0))</f>
        <v>Cotton T-Shirt</v>
      </c>
    </row>
    <row r="17" spans="1:11" x14ac:dyDescent="0.25">
      <c r="A17" s="8" t="s">
        <v>70</v>
      </c>
      <c r="B17" s="9">
        <v>46183</v>
      </c>
      <c r="C17" s="8" t="s">
        <v>39</v>
      </c>
      <c r="D17" s="8" t="s">
        <v>71</v>
      </c>
      <c r="E17" s="8" t="s">
        <v>61</v>
      </c>
      <c r="F17" s="8">
        <v>13</v>
      </c>
      <c r="G17" s="10">
        <v>450</v>
      </c>
      <c r="H17" s="8">
        <f t="shared" si="0"/>
        <v>5850</v>
      </c>
      <c r="I17" s="8" t="str">
        <f t="shared" si="1"/>
        <v>Low</v>
      </c>
      <c r="J17" s="8" t="str">
        <f>VLOOKUP(C17,Product_Lookup!A:B,2,FALSE)</f>
        <v>Cotton T-Shirt</v>
      </c>
      <c r="K17" s="8" t="str">
        <f>INDEX(Product_Lookup!B:B,MATCH(C17,Product_Lookup!A:A,0))</f>
        <v>Cotton T-Shirt</v>
      </c>
    </row>
    <row r="18" spans="1:11" x14ac:dyDescent="0.25">
      <c r="A18" s="8" t="s">
        <v>72</v>
      </c>
      <c r="B18" s="9">
        <v>46182</v>
      </c>
      <c r="C18" s="8" t="s">
        <v>73</v>
      </c>
      <c r="D18" s="8" t="s">
        <v>59</v>
      </c>
      <c r="E18" s="8" t="s">
        <v>56</v>
      </c>
      <c r="F18" s="8">
        <v>12</v>
      </c>
      <c r="G18" s="10">
        <v>1800</v>
      </c>
      <c r="H18" s="8">
        <f t="shared" si="0"/>
        <v>21600</v>
      </c>
      <c r="I18" s="8" t="str">
        <f t="shared" si="1"/>
        <v>High</v>
      </c>
      <c r="J18" s="8" t="str">
        <f>VLOOKUP(C18,Product_Lookup!A:B,2,FALSE)</f>
        <v>Study Table Lamp</v>
      </c>
      <c r="K18" s="8" t="str">
        <f>INDEX(Product_Lookup!B:B,MATCH(C18,Product_Lookup!A:A,0))</f>
        <v>Study Table Lamp</v>
      </c>
    </row>
    <row r="19" spans="1:11" x14ac:dyDescent="0.25">
      <c r="A19" s="8" t="s">
        <v>74</v>
      </c>
      <c r="B19" s="9">
        <v>46185</v>
      </c>
      <c r="C19" s="8" t="s">
        <v>49</v>
      </c>
      <c r="D19" s="8" t="s">
        <v>59</v>
      </c>
      <c r="E19" s="8" t="s">
        <v>61</v>
      </c>
      <c r="F19" s="8">
        <v>20</v>
      </c>
      <c r="G19" s="10">
        <v>899</v>
      </c>
      <c r="H19" s="8">
        <f t="shared" si="0"/>
        <v>17980</v>
      </c>
      <c r="I19" s="8" t="str">
        <f t="shared" si="1"/>
        <v>Medium</v>
      </c>
      <c r="J19" s="8" t="str">
        <f>VLOOKUP(C19,Product_Lookup!A:B,2,FALSE)</f>
        <v>Bluetooth Headphones</v>
      </c>
      <c r="K19" s="8" t="str">
        <f>INDEX(Product_Lookup!B:B,MATCH(C19,Product_Lookup!A:A,0))</f>
        <v>Bluetooth Headphones</v>
      </c>
    </row>
    <row r="20" spans="1:11" x14ac:dyDescent="0.25">
      <c r="A20" s="8" t="s">
        <v>75</v>
      </c>
      <c r="B20" s="9">
        <v>46194</v>
      </c>
      <c r="C20" s="8" t="s">
        <v>43</v>
      </c>
      <c r="D20" s="8" t="s">
        <v>71</v>
      </c>
      <c r="E20" s="8" t="s">
        <v>56</v>
      </c>
      <c r="F20" s="8">
        <v>15</v>
      </c>
      <c r="G20" s="10">
        <v>3200</v>
      </c>
      <c r="H20" s="8">
        <f t="shared" si="0"/>
        <v>48000</v>
      </c>
      <c r="I20" s="8" t="str">
        <f t="shared" si="1"/>
        <v>High</v>
      </c>
      <c r="J20" s="8" t="str">
        <f>VLOOKUP(C20,Product_Lookup!A:B,2,FALSE)</f>
        <v>Air Fryer XL</v>
      </c>
      <c r="K20" s="8" t="str">
        <f>INDEX(Product_Lookup!B:B,MATCH(C20,Product_Lookup!A:A,0))</f>
        <v>Air Fryer XL</v>
      </c>
    </row>
    <row r="21" spans="1:11" x14ac:dyDescent="0.25">
      <c r="A21" s="8" t="s">
        <v>76</v>
      </c>
      <c r="B21" s="9">
        <v>46186</v>
      </c>
      <c r="C21" s="8" t="s">
        <v>55</v>
      </c>
      <c r="D21" s="8" t="s">
        <v>71</v>
      </c>
      <c r="E21" s="8" t="s">
        <v>77</v>
      </c>
      <c r="F21" s="8">
        <v>25</v>
      </c>
      <c r="G21" s="10">
        <v>150</v>
      </c>
      <c r="H21" s="8">
        <f>PRODUCT(F21,G21)</f>
        <v>3750</v>
      </c>
      <c r="I21" s="8" t="str">
        <f t="shared" si="1"/>
        <v>Low</v>
      </c>
      <c r="J21" s="8" t="str">
        <f>VLOOKUP(C21,Product_Lookup!A:B,2,FALSE)</f>
        <v>Notebook Set</v>
      </c>
      <c r="K21" s="8" t="str">
        <f>INDEX(Product_Lookup!B:B,MATCH(C21,Product_Lookup!A:A,0))</f>
        <v>Notebook Set</v>
      </c>
    </row>
    <row r="22" spans="1:11" x14ac:dyDescent="0.25">
      <c r="A22" s="8" t="s">
        <v>78</v>
      </c>
      <c r="B22" s="9">
        <v>46198</v>
      </c>
      <c r="C22" s="8" t="s">
        <v>65</v>
      </c>
      <c r="D22" s="8" t="s">
        <v>71</v>
      </c>
      <c r="E22" s="8" t="s">
        <v>47</v>
      </c>
      <c r="F22" s="8">
        <v>11</v>
      </c>
      <c r="G22" s="10">
        <v>1200</v>
      </c>
      <c r="H22" s="8">
        <f t="shared" si="0"/>
        <v>13200</v>
      </c>
      <c r="I22" s="8" t="str">
        <f t="shared" si="1"/>
        <v>Medium</v>
      </c>
      <c r="J22" s="8" t="str">
        <f>VLOOKUP(C22,Product_Lookup!A:B,2,FALSE)</f>
        <v>Wireless Mouse Pro</v>
      </c>
      <c r="K22" s="8" t="str">
        <f>INDEX(Product_Lookup!B:B,MATCH(C22,Product_Lookup!A:A,0))</f>
        <v>Wireless Mouse Pro</v>
      </c>
    </row>
    <row r="23" spans="1:11" x14ac:dyDescent="0.25">
      <c r="A23" s="8" t="s">
        <v>79</v>
      </c>
      <c r="B23" s="9">
        <v>46186</v>
      </c>
      <c r="C23" s="8" t="s">
        <v>55</v>
      </c>
      <c r="D23" s="8" t="s">
        <v>40</v>
      </c>
      <c r="E23" s="8" t="s">
        <v>53</v>
      </c>
      <c r="F23" s="8">
        <v>19</v>
      </c>
      <c r="G23" s="10">
        <v>150</v>
      </c>
      <c r="H23" s="8">
        <f t="shared" si="0"/>
        <v>2850</v>
      </c>
      <c r="I23" s="8" t="str">
        <f t="shared" si="1"/>
        <v>Low</v>
      </c>
      <c r="J23" s="8" t="str">
        <f>VLOOKUP(C23,Product_Lookup!A:B,2,FALSE)</f>
        <v>Notebook Set</v>
      </c>
      <c r="K23" s="8" t="str">
        <f>INDEX(Product_Lookup!B:B,MATCH(C23,Product_Lookup!A:A,0))</f>
        <v>Notebook Set</v>
      </c>
    </row>
    <row r="24" spans="1:11" x14ac:dyDescent="0.25">
      <c r="A24" s="8" t="s">
        <v>80</v>
      </c>
      <c r="B24" s="9">
        <v>46202</v>
      </c>
      <c r="C24" s="8" t="s">
        <v>58</v>
      </c>
      <c r="D24" s="8" t="s">
        <v>71</v>
      </c>
      <c r="E24" s="8" t="s">
        <v>81</v>
      </c>
      <c r="F24" s="8">
        <v>13</v>
      </c>
      <c r="G24" s="10">
        <v>2500</v>
      </c>
      <c r="H24" s="8">
        <f t="shared" si="0"/>
        <v>32500</v>
      </c>
      <c r="I24" s="8" t="str">
        <f t="shared" si="1"/>
        <v>High</v>
      </c>
      <c r="J24" s="8" t="str">
        <f>VLOOKUP(C24,Product_Lookup!A:B,2,FALSE)</f>
        <v>Office Chair</v>
      </c>
      <c r="K24" s="8" t="str">
        <f>INDEX(Product_Lookup!B:B,MATCH(C24,Product_Lookup!A:A,0))</f>
        <v>Office Chair</v>
      </c>
    </row>
    <row r="25" spans="1:11" x14ac:dyDescent="0.25">
      <c r="A25" s="8" t="s">
        <v>82</v>
      </c>
      <c r="B25" s="9">
        <v>46202</v>
      </c>
      <c r="C25" s="8" t="s">
        <v>73</v>
      </c>
      <c r="D25" s="8" t="s">
        <v>71</v>
      </c>
      <c r="E25" s="8" t="s">
        <v>41</v>
      </c>
      <c r="F25" s="8">
        <v>5</v>
      </c>
      <c r="G25" s="10">
        <v>1800</v>
      </c>
      <c r="H25" s="8">
        <f t="shared" si="0"/>
        <v>9000</v>
      </c>
      <c r="I25" s="8" t="str">
        <f t="shared" si="1"/>
        <v>Medium</v>
      </c>
      <c r="J25" s="8" t="str">
        <f>VLOOKUP(C25,Product_Lookup!A:B,2,FALSE)</f>
        <v>Study Table Lamp</v>
      </c>
      <c r="K25" s="8" t="str">
        <f>INDEX(Product_Lookup!B:B,MATCH(C25,Product_Lookup!A:A,0))</f>
        <v>Study Table Lamp</v>
      </c>
    </row>
    <row r="26" spans="1:11" x14ac:dyDescent="0.25">
      <c r="A26" s="8" t="s">
        <v>83</v>
      </c>
      <c r="B26" s="9">
        <v>46181</v>
      </c>
      <c r="C26" s="8" t="s">
        <v>51</v>
      </c>
      <c r="D26" s="8" t="s">
        <v>59</v>
      </c>
      <c r="E26" s="8" t="s">
        <v>63</v>
      </c>
      <c r="F26" s="8">
        <v>14</v>
      </c>
      <c r="G26" s="10">
        <v>620</v>
      </c>
      <c r="H26" s="8">
        <f t="shared" si="0"/>
        <v>8680</v>
      </c>
      <c r="I26" s="8" t="str">
        <f t="shared" si="1"/>
        <v>Medium</v>
      </c>
      <c r="J26" s="8" t="str">
        <f>VLOOKUP(C26,Product_Lookup!A:B,2,FALSE)</f>
        <v>Running Shoes</v>
      </c>
      <c r="K26" s="8" t="str">
        <f>INDEX(Product_Lookup!B:B,MATCH(C26,Product_Lookup!A:A,0))</f>
        <v>Running Shoes</v>
      </c>
    </row>
    <row r="27" spans="1:11" x14ac:dyDescent="0.25">
      <c r="A27" s="8" t="s">
        <v>84</v>
      </c>
      <c r="B27" s="9">
        <v>46202</v>
      </c>
      <c r="C27" s="8" t="s">
        <v>68</v>
      </c>
      <c r="D27" s="8" t="s">
        <v>52</v>
      </c>
      <c r="E27" s="8" t="s">
        <v>77</v>
      </c>
      <c r="F27" s="8">
        <v>8</v>
      </c>
      <c r="G27" s="10">
        <v>999</v>
      </c>
      <c r="H27" s="8">
        <f t="shared" si="0"/>
        <v>7992</v>
      </c>
      <c r="I27" s="8" t="str">
        <f t="shared" si="1"/>
        <v>Low</v>
      </c>
      <c r="J27" s="8" t="str">
        <f>VLOOKUP(C27,Product_Lookup!A:B,2,FALSE)</f>
        <v>Backpack</v>
      </c>
      <c r="K27" s="8" t="str">
        <f>INDEX(Product_Lookup!B:B,MATCH(C27,Product_Lookup!A:A,0))</f>
        <v>Backpack</v>
      </c>
    </row>
    <row r="28" spans="1:11" x14ac:dyDescent="0.25">
      <c r="A28" s="8" t="s">
        <v>85</v>
      </c>
      <c r="B28" s="9">
        <v>46178</v>
      </c>
      <c r="C28" s="8" t="s">
        <v>51</v>
      </c>
      <c r="D28" s="8" t="s">
        <v>52</v>
      </c>
      <c r="E28" s="8" t="s">
        <v>61</v>
      </c>
      <c r="F28" s="8">
        <v>25</v>
      </c>
      <c r="G28" s="10">
        <v>620</v>
      </c>
      <c r="H28" s="8">
        <f t="shared" si="0"/>
        <v>15500</v>
      </c>
      <c r="I28" s="8" t="str">
        <f t="shared" si="1"/>
        <v>Medium</v>
      </c>
      <c r="J28" s="8" t="str">
        <f>VLOOKUP(C28,Product_Lookup!A:B,2,FALSE)</f>
        <v>Running Shoes</v>
      </c>
      <c r="K28" s="8" t="str">
        <f>INDEX(Product_Lookup!B:B,MATCH(C28,Product_Lookup!A:A,0))</f>
        <v>Running Shoes</v>
      </c>
    </row>
    <row r="29" spans="1:11" x14ac:dyDescent="0.25">
      <c r="A29" s="8" t="s">
        <v>86</v>
      </c>
      <c r="B29" s="9">
        <v>46175</v>
      </c>
      <c r="C29" s="8" t="s">
        <v>39</v>
      </c>
      <c r="D29" s="8" t="s">
        <v>71</v>
      </c>
      <c r="E29" s="8" t="s">
        <v>56</v>
      </c>
      <c r="F29" s="8">
        <v>22</v>
      </c>
      <c r="G29" s="10">
        <v>450</v>
      </c>
      <c r="H29" s="8">
        <f t="shared" si="0"/>
        <v>9900</v>
      </c>
      <c r="I29" s="8" t="str">
        <f t="shared" si="1"/>
        <v>Medium</v>
      </c>
      <c r="J29" s="8" t="str">
        <f>VLOOKUP(C29,Product_Lookup!A:B,2,FALSE)</f>
        <v>Cotton T-Shirt</v>
      </c>
      <c r="K29" s="8" t="str">
        <f>INDEX(Product_Lookup!B:B,MATCH(C29,Product_Lookup!A:A,0))</f>
        <v>Cotton T-Shirt</v>
      </c>
    </row>
    <row r="30" spans="1:11" x14ac:dyDescent="0.25">
      <c r="A30" s="8" t="s">
        <v>87</v>
      </c>
      <c r="B30" s="9">
        <v>46187</v>
      </c>
      <c r="C30" s="8" t="s">
        <v>68</v>
      </c>
      <c r="D30" s="8" t="s">
        <v>40</v>
      </c>
      <c r="E30" s="8" t="s">
        <v>88</v>
      </c>
      <c r="F30" s="8">
        <v>13</v>
      </c>
      <c r="G30" s="10">
        <v>999</v>
      </c>
      <c r="H30" s="8">
        <f t="shared" si="0"/>
        <v>12987</v>
      </c>
      <c r="I30" s="8" t="str">
        <f t="shared" si="1"/>
        <v>Medium</v>
      </c>
      <c r="J30" s="8" t="str">
        <f>VLOOKUP(C30,Product_Lookup!A:B,2,FALSE)</f>
        <v>Backpack</v>
      </c>
      <c r="K30" s="8" t="str">
        <f>INDEX(Product_Lookup!B:B,MATCH(C30,Product_Lookup!A:A,0))</f>
        <v>Backpack</v>
      </c>
    </row>
    <row r="31" spans="1:11" x14ac:dyDescent="0.25">
      <c r="A31" s="8" t="s">
        <v>89</v>
      </c>
      <c r="B31" s="9">
        <v>46193</v>
      </c>
      <c r="C31" s="8" t="s">
        <v>73</v>
      </c>
      <c r="D31" s="8" t="s">
        <v>59</v>
      </c>
      <c r="E31" s="8" t="s">
        <v>44</v>
      </c>
      <c r="F31" s="8">
        <v>1</v>
      </c>
      <c r="G31" s="10">
        <v>1800</v>
      </c>
      <c r="H31" s="8">
        <f t="shared" si="0"/>
        <v>1800</v>
      </c>
      <c r="I31" s="8" t="str">
        <f t="shared" si="1"/>
        <v>Low</v>
      </c>
      <c r="J31" s="8" t="str">
        <f>VLOOKUP(C31,Product_Lookup!A:B,2,FALSE)</f>
        <v>Study Table Lamp</v>
      </c>
      <c r="K31" s="8" t="str">
        <f>INDEX(Product_Lookup!B:B,MATCH(C31,Product_Lookup!A:A,0))</f>
        <v>Study Table Lamp</v>
      </c>
    </row>
    <row r="32" spans="1:11" x14ac:dyDescent="0.25">
      <c r="A32" s="8" t="s">
        <v>90</v>
      </c>
      <c r="B32" s="9">
        <v>46195</v>
      </c>
      <c r="C32" s="8" t="s">
        <v>39</v>
      </c>
      <c r="D32" s="8" t="s">
        <v>59</v>
      </c>
      <c r="E32" s="8" t="s">
        <v>77</v>
      </c>
      <c r="F32" s="8">
        <v>4</v>
      </c>
      <c r="G32" s="10">
        <v>450</v>
      </c>
      <c r="H32" s="8">
        <f t="shared" si="0"/>
        <v>1800</v>
      </c>
      <c r="I32" s="8" t="str">
        <f t="shared" si="1"/>
        <v>Low</v>
      </c>
      <c r="J32" s="8" t="str">
        <f>VLOOKUP(C32,Product_Lookup!A:B,2,FALSE)</f>
        <v>Cotton T-Shirt</v>
      </c>
      <c r="K32" s="8" t="str">
        <f>INDEX(Product_Lookup!B:B,MATCH(C32,Product_Lookup!A:A,0))</f>
        <v>Cotton T-Shirt</v>
      </c>
    </row>
    <row r="33" spans="1:11" x14ac:dyDescent="0.25">
      <c r="A33" s="8" t="s">
        <v>91</v>
      </c>
      <c r="B33" s="9">
        <v>46183</v>
      </c>
      <c r="C33" s="8" t="s">
        <v>46</v>
      </c>
      <c r="D33" s="8" t="s">
        <v>71</v>
      </c>
      <c r="E33" s="8" t="s">
        <v>81</v>
      </c>
      <c r="F33" s="8">
        <v>1</v>
      </c>
      <c r="G33" s="10">
        <v>75</v>
      </c>
      <c r="H33" s="8">
        <f t="shared" si="0"/>
        <v>75</v>
      </c>
      <c r="I33" s="8" t="str">
        <f t="shared" si="1"/>
        <v>Low</v>
      </c>
      <c r="J33" s="8" t="str">
        <f>VLOOKUP(C33,Product_Lookup!A:B,2,FALSE)</f>
        <v>Ceramic Mug</v>
      </c>
      <c r="K33" s="8" t="str">
        <f>INDEX(Product_Lookup!B:B,MATCH(C33,Product_Lookup!A:A,0))</f>
        <v>Ceramic Mug</v>
      </c>
    </row>
    <row r="34" spans="1:11" x14ac:dyDescent="0.25">
      <c r="A34" s="8" t="s">
        <v>92</v>
      </c>
      <c r="B34" s="9">
        <v>46197</v>
      </c>
      <c r="C34" s="8" t="s">
        <v>55</v>
      </c>
      <c r="D34" s="8" t="s">
        <v>71</v>
      </c>
      <c r="E34" s="8" t="s">
        <v>44</v>
      </c>
      <c r="F34" s="8">
        <v>4</v>
      </c>
      <c r="G34" s="10">
        <v>150</v>
      </c>
      <c r="H34" s="8">
        <f t="shared" si="0"/>
        <v>600</v>
      </c>
      <c r="I34" s="8" t="str">
        <f t="shared" si="1"/>
        <v>Low</v>
      </c>
      <c r="J34" s="8" t="str">
        <f>VLOOKUP(C34,Product_Lookup!A:B,2,FALSE)</f>
        <v>Notebook Set</v>
      </c>
      <c r="K34" s="8" t="str">
        <f>INDEX(Product_Lookup!B:B,MATCH(C34,Product_Lookup!A:A,0))</f>
        <v>Notebook Set</v>
      </c>
    </row>
    <row r="35" spans="1:11" x14ac:dyDescent="0.25">
      <c r="A35" s="8" t="s">
        <v>93</v>
      </c>
      <c r="B35" s="9">
        <v>46201</v>
      </c>
      <c r="C35" s="8" t="s">
        <v>55</v>
      </c>
      <c r="D35" s="8" t="s">
        <v>71</v>
      </c>
      <c r="E35" s="8" t="s">
        <v>56</v>
      </c>
      <c r="F35" s="8">
        <v>12</v>
      </c>
      <c r="G35" s="10">
        <v>150</v>
      </c>
      <c r="H35" s="8">
        <f t="shared" si="0"/>
        <v>1800</v>
      </c>
      <c r="I35" s="8" t="str">
        <f t="shared" si="1"/>
        <v>Low</v>
      </c>
      <c r="J35" s="8" t="str">
        <f>VLOOKUP(C35,Product_Lookup!A:B,2,FALSE)</f>
        <v>Notebook Set</v>
      </c>
      <c r="K35" s="8" t="str">
        <f>INDEX(Product_Lookup!B:B,MATCH(C35,Product_Lookup!A:A,0))</f>
        <v>Notebook Set</v>
      </c>
    </row>
    <row r="36" spans="1:11" x14ac:dyDescent="0.25">
      <c r="A36" s="8" t="s">
        <v>94</v>
      </c>
      <c r="B36" s="9">
        <v>46198</v>
      </c>
      <c r="C36" s="8" t="s">
        <v>43</v>
      </c>
      <c r="D36" s="8" t="s">
        <v>40</v>
      </c>
      <c r="E36" s="8" t="s">
        <v>63</v>
      </c>
      <c r="F36" s="8">
        <v>11</v>
      </c>
      <c r="G36" s="10">
        <v>3200</v>
      </c>
      <c r="H36" s="8">
        <f t="shared" si="0"/>
        <v>35200</v>
      </c>
      <c r="I36" s="8" t="str">
        <f t="shared" si="1"/>
        <v>High</v>
      </c>
      <c r="J36" s="8" t="str">
        <f>VLOOKUP(C36,Product_Lookup!A:B,2,FALSE)</f>
        <v>Air Fryer XL</v>
      </c>
      <c r="K36" s="8" t="str">
        <f>INDEX(Product_Lookup!B:B,MATCH(C36,Product_Lookup!A:A,0))</f>
        <v>Air Fryer XL</v>
      </c>
    </row>
    <row r="37" spans="1:11" x14ac:dyDescent="0.25">
      <c r="A37" s="8" t="s">
        <v>95</v>
      </c>
      <c r="B37" s="9">
        <v>46189</v>
      </c>
      <c r="C37" s="8" t="s">
        <v>65</v>
      </c>
      <c r="D37" s="8" t="s">
        <v>40</v>
      </c>
      <c r="E37" s="8" t="s">
        <v>77</v>
      </c>
      <c r="F37" s="8">
        <v>10</v>
      </c>
      <c r="G37" s="10">
        <v>1200</v>
      </c>
      <c r="H37" s="8">
        <f t="shared" si="0"/>
        <v>12000</v>
      </c>
      <c r="I37" s="8" t="str">
        <f t="shared" si="1"/>
        <v>Medium</v>
      </c>
      <c r="J37" s="8" t="str">
        <f>VLOOKUP(C37,Product_Lookup!A:B,2,FALSE)</f>
        <v>Wireless Mouse Pro</v>
      </c>
      <c r="K37" s="8" t="str">
        <f>INDEX(Product_Lookup!B:B,MATCH(C37,Product_Lookup!A:A,0))</f>
        <v>Wireless Mouse Pro</v>
      </c>
    </row>
    <row r="38" spans="1:11" x14ac:dyDescent="0.25">
      <c r="A38" s="8" t="s">
        <v>96</v>
      </c>
      <c r="B38" s="9">
        <v>46181</v>
      </c>
      <c r="C38" s="8" t="s">
        <v>65</v>
      </c>
      <c r="D38" s="8" t="s">
        <v>71</v>
      </c>
      <c r="E38" s="8" t="s">
        <v>63</v>
      </c>
      <c r="F38" s="8">
        <v>3</v>
      </c>
      <c r="G38" s="10">
        <v>1200</v>
      </c>
      <c r="H38" s="8">
        <f>PRODUCT(F38,G38)</f>
        <v>3600</v>
      </c>
      <c r="I38" s="8" t="str">
        <f t="shared" si="1"/>
        <v>Low</v>
      </c>
      <c r="J38" s="8" t="str">
        <f>VLOOKUP(C38,Product_Lookup!A:B,2,FALSE)</f>
        <v>Wireless Mouse Pro</v>
      </c>
      <c r="K38" s="8" t="str">
        <f>INDEX(Product_Lookup!B:B,MATCH(C38,Product_Lookup!A:A,0))</f>
        <v>Wireless Mouse Pro</v>
      </c>
    </row>
    <row r="39" spans="1:11" x14ac:dyDescent="0.25">
      <c r="A39" s="8" t="s">
        <v>97</v>
      </c>
      <c r="B39" s="9">
        <v>46176</v>
      </c>
      <c r="C39" s="8" t="s">
        <v>73</v>
      </c>
      <c r="D39" s="8" t="s">
        <v>40</v>
      </c>
      <c r="E39" s="8" t="s">
        <v>44</v>
      </c>
      <c r="F39" s="8">
        <v>25</v>
      </c>
      <c r="G39" s="10">
        <v>1800</v>
      </c>
      <c r="H39" s="8">
        <f t="shared" si="0"/>
        <v>45000</v>
      </c>
      <c r="I39" s="8" t="str">
        <f t="shared" si="1"/>
        <v>High</v>
      </c>
      <c r="J39" s="8" t="str">
        <f>VLOOKUP(C39,Product_Lookup!A:B,2,FALSE)</f>
        <v>Study Table Lamp</v>
      </c>
      <c r="K39" s="8" t="str">
        <f>INDEX(Product_Lookup!B:B,MATCH(C39,Product_Lookup!A:A,0))</f>
        <v>Study Table Lamp</v>
      </c>
    </row>
    <row r="40" spans="1:11" x14ac:dyDescent="0.25">
      <c r="A40" s="8" t="s">
        <v>98</v>
      </c>
      <c r="B40" s="9">
        <v>46178</v>
      </c>
      <c r="C40" s="8" t="s">
        <v>43</v>
      </c>
      <c r="D40" s="8" t="s">
        <v>52</v>
      </c>
      <c r="E40" s="8" t="s">
        <v>44</v>
      </c>
      <c r="F40" s="8">
        <v>6</v>
      </c>
      <c r="G40" s="10">
        <v>3200</v>
      </c>
      <c r="H40" s="8">
        <f t="shared" si="0"/>
        <v>19200</v>
      </c>
      <c r="I40" s="8" t="str">
        <f t="shared" si="1"/>
        <v>Medium</v>
      </c>
      <c r="J40" s="8" t="str">
        <f>VLOOKUP(C40,Product_Lookup!A:B,2,FALSE)</f>
        <v>Air Fryer XL</v>
      </c>
      <c r="K40" s="8" t="str">
        <f>INDEX(Product_Lookup!B:B,MATCH(C40,Product_Lookup!A:A,0))</f>
        <v>Air Fryer XL</v>
      </c>
    </row>
    <row r="41" spans="1:11" x14ac:dyDescent="0.25">
      <c r="A41" s="8" t="s">
        <v>99</v>
      </c>
      <c r="B41" s="9">
        <v>46182</v>
      </c>
      <c r="C41" s="8" t="s">
        <v>51</v>
      </c>
      <c r="D41" s="8" t="s">
        <v>52</v>
      </c>
      <c r="E41" s="8" t="s">
        <v>53</v>
      </c>
      <c r="F41" s="8">
        <v>18</v>
      </c>
      <c r="G41" s="10">
        <v>620</v>
      </c>
      <c r="H41" s="8">
        <f t="shared" si="0"/>
        <v>11160</v>
      </c>
      <c r="I41" s="8" t="str">
        <f t="shared" si="1"/>
        <v>Medium</v>
      </c>
      <c r="J41" s="8" t="str">
        <f>VLOOKUP(C41,Product_Lookup!A:B,2,FALSE)</f>
        <v>Running Shoes</v>
      </c>
      <c r="K41" s="8" t="str">
        <f>INDEX(Product_Lookup!B:B,MATCH(C41,Product_Lookup!A:A,0))</f>
        <v>Running Shoes</v>
      </c>
    </row>
    <row r="42" spans="1:11" x14ac:dyDescent="0.25">
      <c r="A42" s="8" t="s">
        <v>100</v>
      </c>
      <c r="B42" s="9">
        <v>46198</v>
      </c>
      <c r="C42" s="8" t="s">
        <v>49</v>
      </c>
      <c r="D42" s="8" t="s">
        <v>59</v>
      </c>
      <c r="E42" s="8" t="s">
        <v>88</v>
      </c>
      <c r="F42" s="8">
        <v>22</v>
      </c>
      <c r="G42" s="10">
        <v>899</v>
      </c>
      <c r="H42" s="8">
        <f t="shared" si="0"/>
        <v>19778</v>
      </c>
      <c r="I42" s="8" t="str">
        <f t="shared" si="1"/>
        <v>Medium</v>
      </c>
      <c r="J42" s="8" t="str">
        <f>VLOOKUP(C42,Product_Lookup!A:B,2,FALSE)</f>
        <v>Bluetooth Headphones</v>
      </c>
      <c r="K42" s="8" t="str">
        <f>INDEX(Product_Lookup!B:B,MATCH(C42,Product_Lookup!A:A,0))</f>
        <v>Bluetooth Headphones</v>
      </c>
    </row>
    <row r="43" spans="1:11" x14ac:dyDescent="0.25">
      <c r="A43" s="8" t="s">
        <v>101</v>
      </c>
      <c r="B43" s="9">
        <v>46194</v>
      </c>
      <c r="C43" s="8" t="s">
        <v>58</v>
      </c>
      <c r="D43" s="8" t="s">
        <v>52</v>
      </c>
      <c r="E43" s="8" t="s">
        <v>44</v>
      </c>
      <c r="F43" s="8">
        <v>15</v>
      </c>
      <c r="G43" s="10">
        <v>2500</v>
      </c>
      <c r="H43" s="8">
        <f t="shared" si="0"/>
        <v>37500</v>
      </c>
      <c r="I43" s="8" t="str">
        <f t="shared" si="1"/>
        <v>High</v>
      </c>
      <c r="J43" s="8" t="str">
        <f>VLOOKUP(C43,Product_Lookup!A:B,2,FALSE)</f>
        <v>Office Chair</v>
      </c>
      <c r="K43" s="8" t="str">
        <f>INDEX(Product_Lookup!B:B,MATCH(C43,Product_Lookup!A:A,0))</f>
        <v>Office Chair</v>
      </c>
    </row>
    <row r="44" spans="1:11" x14ac:dyDescent="0.25">
      <c r="A44" s="8" t="s">
        <v>102</v>
      </c>
      <c r="B44" s="9">
        <v>46177</v>
      </c>
      <c r="C44" s="8" t="s">
        <v>49</v>
      </c>
      <c r="D44" s="8" t="s">
        <v>71</v>
      </c>
      <c r="E44" s="8" t="s">
        <v>61</v>
      </c>
      <c r="F44" s="8">
        <v>11</v>
      </c>
      <c r="G44" s="10">
        <v>899</v>
      </c>
      <c r="H44" s="8">
        <f t="shared" si="0"/>
        <v>9889</v>
      </c>
      <c r="I44" s="8" t="str">
        <f t="shared" si="1"/>
        <v>Medium</v>
      </c>
      <c r="J44" s="8" t="str">
        <f>VLOOKUP(C44,Product_Lookup!A:B,2,FALSE)</f>
        <v>Bluetooth Headphones</v>
      </c>
      <c r="K44" s="8" t="str">
        <f>INDEX(Product_Lookup!B:B,MATCH(C44,Product_Lookup!A:A,0))</f>
        <v>Bluetooth Headphones</v>
      </c>
    </row>
    <row r="45" spans="1:11" x14ac:dyDescent="0.25">
      <c r="A45" s="8" t="s">
        <v>103</v>
      </c>
      <c r="B45" s="9">
        <v>46174</v>
      </c>
      <c r="C45" s="8" t="s">
        <v>68</v>
      </c>
      <c r="D45" s="8" t="s">
        <v>71</v>
      </c>
      <c r="E45" s="8" t="s">
        <v>63</v>
      </c>
      <c r="F45" s="8">
        <v>8</v>
      </c>
      <c r="G45" s="10">
        <v>999</v>
      </c>
      <c r="H45" s="8">
        <f t="shared" si="0"/>
        <v>7992</v>
      </c>
      <c r="I45" s="8" t="str">
        <f t="shared" si="1"/>
        <v>Low</v>
      </c>
      <c r="J45" s="8" t="str">
        <f>VLOOKUP(C45,Product_Lookup!A:B,2,FALSE)</f>
        <v>Backpack</v>
      </c>
      <c r="K45" s="8" t="str">
        <f>INDEX(Product_Lookup!B:B,MATCH(C45,Product_Lookup!A:A,0))</f>
        <v>Backpack</v>
      </c>
    </row>
    <row r="46" spans="1:11" x14ac:dyDescent="0.25">
      <c r="A46" s="8" t="s">
        <v>104</v>
      </c>
      <c r="B46" s="9">
        <v>46174</v>
      </c>
      <c r="C46" s="8" t="s">
        <v>39</v>
      </c>
      <c r="D46" s="8" t="s">
        <v>40</v>
      </c>
      <c r="E46" s="8" t="s">
        <v>53</v>
      </c>
      <c r="F46" s="8">
        <v>3</v>
      </c>
      <c r="G46" s="10">
        <v>450</v>
      </c>
      <c r="H46" s="8">
        <f t="shared" si="0"/>
        <v>1350</v>
      </c>
      <c r="I46" s="8" t="str">
        <f t="shared" si="1"/>
        <v>Low</v>
      </c>
      <c r="J46" s="8" t="str">
        <f>VLOOKUP(C46,Product_Lookup!A:B,2,FALSE)</f>
        <v>Cotton T-Shirt</v>
      </c>
      <c r="K46" s="8" t="str">
        <f>INDEX(Product_Lookup!B:B,MATCH(C46,Product_Lookup!A:A,0))</f>
        <v>Cotton T-Shirt</v>
      </c>
    </row>
    <row r="47" spans="1:11" x14ac:dyDescent="0.25">
      <c r="A47" s="8" t="s">
        <v>105</v>
      </c>
      <c r="B47" s="9">
        <v>46202</v>
      </c>
      <c r="C47" s="8" t="s">
        <v>65</v>
      </c>
      <c r="D47" s="8" t="s">
        <v>59</v>
      </c>
      <c r="E47" s="8" t="s">
        <v>61</v>
      </c>
      <c r="F47" s="8">
        <v>17</v>
      </c>
      <c r="G47" s="10">
        <v>1200</v>
      </c>
      <c r="H47" s="8">
        <f t="shared" si="0"/>
        <v>20400</v>
      </c>
      <c r="I47" s="8" t="str">
        <f t="shared" si="1"/>
        <v>High</v>
      </c>
      <c r="J47" s="8" t="str">
        <f>VLOOKUP(C47,Product_Lookup!A:B,2,FALSE)</f>
        <v>Wireless Mouse Pro</v>
      </c>
      <c r="K47" s="8" t="str">
        <f>INDEX(Product_Lookup!B:B,MATCH(C47,Product_Lookup!A:A,0))</f>
        <v>Wireless Mouse Pro</v>
      </c>
    </row>
    <row r="48" spans="1:11" x14ac:dyDescent="0.25">
      <c r="A48" s="8" t="s">
        <v>106</v>
      </c>
      <c r="B48" s="9">
        <v>46181</v>
      </c>
      <c r="C48" s="8" t="s">
        <v>55</v>
      </c>
      <c r="D48" s="8" t="s">
        <v>52</v>
      </c>
      <c r="E48" s="8" t="s">
        <v>53</v>
      </c>
      <c r="F48" s="8">
        <v>18</v>
      </c>
      <c r="G48" s="10">
        <v>150</v>
      </c>
      <c r="H48" s="8">
        <f t="shared" si="0"/>
        <v>2700</v>
      </c>
      <c r="I48" s="8" t="str">
        <f t="shared" si="1"/>
        <v>Low</v>
      </c>
      <c r="J48" s="8" t="str">
        <f>VLOOKUP(C48,Product_Lookup!A:B,2,FALSE)</f>
        <v>Notebook Set</v>
      </c>
      <c r="K48" s="8" t="str">
        <f>INDEX(Product_Lookup!B:B,MATCH(C48,Product_Lookup!A:A,0))</f>
        <v>Notebook Set</v>
      </c>
    </row>
    <row r="49" spans="1:11" x14ac:dyDescent="0.25">
      <c r="A49" s="8" t="s">
        <v>107</v>
      </c>
      <c r="B49" s="9">
        <v>46178</v>
      </c>
      <c r="C49" s="8" t="s">
        <v>68</v>
      </c>
      <c r="D49" s="8" t="s">
        <v>52</v>
      </c>
      <c r="E49" s="8" t="s">
        <v>53</v>
      </c>
      <c r="F49" s="8">
        <v>16</v>
      </c>
      <c r="G49" s="10">
        <v>999</v>
      </c>
      <c r="H49" s="8">
        <f t="shared" si="0"/>
        <v>15984</v>
      </c>
      <c r="I49" s="8" t="str">
        <f t="shared" si="1"/>
        <v>Medium</v>
      </c>
      <c r="J49" s="8" t="str">
        <f>VLOOKUP(C49,Product_Lookup!A:B,2,FALSE)</f>
        <v>Backpack</v>
      </c>
      <c r="K49" s="8" t="str">
        <f>INDEX(Product_Lookup!B:B,MATCH(C49,Product_Lookup!A:A,0))</f>
        <v>Backpack</v>
      </c>
    </row>
    <row r="50" spans="1:11" x14ac:dyDescent="0.25">
      <c r="A50" s="8" t="s">
        <v>108</v>
      </c>
      <c r="B50" s="9">
        <v>46199</v>
      </c>
      <c r="C50" s="8" t="s">
        <v>46</v>
      </c>
      <c r="D50" s="8" t="s">
        <v>71</v>
      </c>
      <c r="E50" s="8" t="s">
        <v>61</v>
      </c>
      <c r="F50" s="8">
        <v>4</v>
      </c>
      <c r="G50" s="10">
        <v>75</v>
      </c>
      <c r="H50" s="8">
        <f t="shared" si="0"/>
        <v>300</v>
      </c>
      <c r="I50" s="8" t="str">
        <f t="shared" si="1"/>
        <v>Low</v>
      </c>
      <c r="J50" s="8" t="str">
        <f>VLOOKUP(C50,Product_Lookup!A:B,2,FALSE)</f>
        <v>Ceramic Mug</v>
      </c>
      <c r="K50" s="8" t="str">
        <f>INDEX(Product_Lookup!B:B,MATCH(C50,Product_Lookup!A:A,0))</f>
        <v>Ceramic Mug</v>
      </c>
    </row>
    <row r="51" spans="1:11" x14ac:dyDescent="0.25">
      <c r="A51" s="8" t="s">
        <v>109</v>
      </c>
      <c r="B51" s="9">
        <v>46195</v>
      </c>
      <c r="C51" s="8" t="s">
        <v>46</v>
      </c>
      <c r="D51" s="8" t="s">
        <v>59</v>
      </c>
      <c r="E51" s="8" t="s">
        <v>88</v>
      </c>
      <c r="F51" s="8">
        <v>14</v>
      </c>
      <c r="G51" s="10">
        <v>75</v>
      </c>
      <c r="H51" s="8">
        <f t="shared" si="0"/>
        <v>1050</v>
      </c>
      <c r="I51" s="8" t="str">
        <f t="shared" si="1"/>
        <v>Low</v>
      </c>
      <c r="J51" s="8" t="str">
        <f>VLOOKUP(C51,Product_Lookup!A:B,2,FALSE)</f>
        <v>Ceramic Mug</v>
      </c>
      <c r="K51" s="8" t="str">
        <f>INDEX(Product_Lookup!B:B,MATCH(C51,Product_Lookup!A:A,0))</f>
        <v>Ceramic Mug</v>
      </c>
    </row>
    <row r="52" spans="1:11" x14ac:dyDescent="0.25">
      <c r="A52" s="8" t="s">
        <v>110</v>
      </c>
      <c r="B52" s="9">
        <v>46188</v>
      </c>
      <c r="C52" s="8" t="s">
        <v>65</v>
      </c>
      <c r="D52" s="8" t="s">
        <v>40</v>
      </c>
      <c r="E52" s="8" t="s">
        <v>47</v>
      </c>
      <c r="F52" s="8">
        <v>13</v>
      </c>
      <c r="G52" s="10">
        <v>1200</v>
      </c>
      <c r="H52" s="8">
        <f>PRODUCT(F52,G52)</f>
        <v>15600</v>
      </c>
      <c r="I52" s="8" t="str">
        <f t="shared" si="1"/>
        <v>Medium</v>
      </c>
      <c r="J52" s="8" t="str">
        <f>VLOOKUP(C52,Product_Lookup!A:B,2,FALSE)</f>
        <v>Wireless Mouse Pro</v>
      </c>
      <c r="K52" s="8" t="str">
        <f>INDEX(Product_Lookup!B:B,MATCH(C52,Product_Lookup!A:A,0))</f>
        <v>Wireless Mouse Pro</v>
      </c>
    </row>
    <row r="53" spans="1:11" x14ac:dyDescent="0.25">
      <c r="A53" s="8" t="s">
        <v>111</v>
      </c>
      <c r="B53" s="9">
        <v>46197</v>
      </c>
      <c r="C53" s="8" t="s">
        <v>58</v>
      </c>
      <c r="D53" s="8" t="s">
        <v>40</v>
      </c>
      <c r="E53" s="8" t="s">
        <v>53</v>
      </c>
      <c r="F53" s="8">
        <v>7</v>
      </c>
      <c r="G53" s="10">
        <v>2500</v>
      </c>
      <c r="H53" s="8">
        <f t="shared" si="0"/>
        <v>17500</v>
      </c>
      <c r="I53" s="8" t="str">
        <f t="shared" si="1"/>
        <v>Medium</v>
      </c>
      <c r="J53" s="8" t="str">
        <f>VLOOKUP(C53,Product_Lookup!A:B,2,FALSE)</f>
        <v>Office Chair</v>
      </c>
      <c r="K53" s="8" t="str">
        <f>INDEX(Product_Lookup!B:B,MATCH(C53,Product_Lookup!A:A,0))</f>
        <v>Office Chair</v>
      </c>
    </row>
    <row r="55" spans="1:11" x14ac:dyDescent="0.25">
      <c r="A55" s="11" t="s">
        <v>112</v>
      </c>
    </row>
    <row r="56" spans="1:11" x14ac:dyDescent="0.25">
      <c r="A56" s="5" t="s">
        <v>113</v>
      </c>
      <c r="B56" s="12"/>
      <c r="D56">
        <f>SUM(H:H)</f>
        <v>620828</v>
      </c>
    </row>
    <row r="57" spans="1:11" x14ac:dyDescent="0.25">
      <c r="A57" s="5" t="s">
        <v>114</v>
      </c>
      <c r="B57" s="12"/>
      <c r="D57">
        <f>AVERAGE(H:H)</f>
        <v>12416.56</v>
      </c>
    </row>
    <row r="58" spans="1:11" x14ac:dyDescent="0.25">
      <c r="A58" s="5" t="s">
        <v>115</v>
      </c>
      <c r="B58" s="12"/>
      <c r="D58">
        <f>COUNTA(A4:A53)</f>
        <v>50</v>
      </c>
    </row>
    <row r="59" spans="1:11" x14ac:dyDescent="0.25">
      <c r="A59" s="5" t="s">
        <v>116</v>
      </c>
      <c r="B59" s="12"/>
      <c r="D59">
        <f>MAX(H4:H53)</f>
        <v>48000</v>
      </c>
    </row>
    <row r="60" spans="1:11" x14ac:dyDescent="0.25">
      <c r="A60" s="5" t="s">
        <v>117</v>
      </c>
      <c r="B60" s="12"/>
      <c r="D60">
        <f>MIN(H4:H53)</f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>
      <selection activeCell="F8" sqref="F8"/>
    </sheetView>
  </sheetViews>
  <sheetFormatPr defaultRowHeight="15" x14ac:dyDescent="0.25"/>
  <cols>
    <col min="1" max="1" width="12" customWidth="1"/>
    <col min="2" max="2" width="24" customWidth="1"/>
    <col min="3" max="3" width="18" customWidth="1"/>
    <col min="4" max="4" width="12" customWidth="1"/>
  </cols>
  <sheetData>
    <row r="1" spans="1:4" ht="20.25" x14ac:dyDescent="0.3">
      <c r="A1" s="1" t="s">
        <v>118</v>
      </c>
    </row>
    <row r="2" spans="1:4" x14ac:dyDescent="0.25">
      <c r="A2" s="2" t="s">
        <v>119</v>
      </c>
    </row>
    <row r="4" spans="1:4" x14ac:dyDescent="0.25">
      <c r="A4" s="13" t="s">
        <v>29</v>
      </c>
      <c r="B4" s="13" t="s">
        <v>120</v>
      </c>
      <c r="C4" s="13" t="s">
        <v>121</v>
      </c>
      <c r="D4" s="13" t="s">
        <v>33</v>
      </c>
    </row>
    <row r="5" spans="1:4" x14ac:dyDescent="0.25">
      <c r="A5" s="8" t="s">
        <v>65</v>
      </c>
      <c r="B5" s="8" t="s">
        <v>122</v>
      </c>
      <c r="C5" s="8" t="s">
        <v>123</v>
      </c>
      <c r="D5" s="10">
        <v>1200</v>
      </c>
    </row>
    <row r="6" spans="1:4" x14ac:dyDescent="0.25">
      <c r="A6" s="8" t="s">
        <v>39</v>
      </c>
      <c r="B6" s="8" t="s">
        <v>124</v>
      </c>
      <c r="C6" s="8" t="s">
        <v>125</v>
      </c>
      <c r="D6" s="10">
        <v>450</v>
      </c>
    </row>
    <row r="7" spans="1:4" x14ac:dyDescent="0.25">
      <c r="A7" s="8" t="s">
        <v>43</v>
      </c>
      <c r="B7" s="8" t="s">
        <v>126</v>
      </c>
      <c r="C7" s="8" t="s">
        <v>127</v>
      </c>
      <c r="D7" s="10">
        <v>3200</v>
      </c>
    </row>
    <row r="8" spans="1:4" x14ac:dyDescent="0.25">
      <c r="A8" s="8" t="s">
        <v>49</v>
      </c>
      <c r="B8" s="8" t="s">
        <v>128</v>
      </c>
      <c r="C8" s="8" t="s">
        <v>123</v>
      </c>
      <c r="D8" s="10">
        <v>899</v>
      </c>
    </row>
    <row r="9" spans="1:4" x14ac:dyDescent="0.25">
      <c r="A9" s="8" t="s">
        <v>55</v>
      </c>
      <c r="B9" s="8" t="s">
        <v>129</v>
      </c>
      <c r="C9" s="8" t="s">
        <v>130</v>
      </c>
      <c r="D9" s="10">
        <v>150</v>
      </c>
    </row>
    <row r="10" spans="1:4" x14ac:dyDescent="0.25">
      <c r="A10" s="8" t="s">
        <v>58</v>
      </c>
      <c r="B10" s="8" t="s">
        <v>131</v>
      </c>
      <c r="C10" s="8" t="s">
        <v>132</v>
      </c>
      <c r="D10" s="10">
        <v>2500</v>
      </c>
    </row>
    <row r="11" spans="1:4" x14ac:dyDescent="0.25">
      <c r="A11" s="8" t="s">
        <v>46</v>
      </c>
      <c r="B11" s="8" t="s">
        <v>133</v>
      </c>
      <c r="C11" s="8" t="s">
        <v>134</v>
      </c>
      <c r="D11" s="10">
        <v>75</v>
      </c>
    </row>
    <row r="12" spans="1:4" x14ac:dyDescent="0.25">
      <c r="A12" s="8" t="s">
        <v>73</v>
      </c>
      <c r="B12" s="8" t="s">
        <v>135</v>
      </c>
      <c r="C12" s="8" t="s">
        <v>132</v>
      </c>
      <c r="D12" s="10">
        <v>1800</v>
      </c>
    </row>
    <row r="13" spans="1:4" x14ac:dyDescent="0.25">
      <c r="A13" s="8" t="s">
        <v>51</v>
      </c>
      <c r="B13" s="8" t="s">
        <v>136</v>
      </c>
      <c r="C13" s="8" t="s">
        <v>125</v>
      </c>
      <c r="D13" s="10">
        <v>620</v>
      </c>
    </row>
    <row r="14" spans="1:4" x14ac:dyDescent="0.25">
      <c r="A14" s="8" t="s">
        <v>68</v>
      </c>
      <c r="B14" s="8" t="s">
        <v>137</v>
      </c>
      <c r="C14" s="8" t="s">
        <v>138</v>
      </c>
      <c r="D14" s="10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Sales_Data</vt:lpstr>
      <vt:lpstr>Product_Lookup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Yuvaraja TR</cp:lastModifiedBy>
  <dcterms:created xsi:type="dcterms:W3CDTF">2026-08-15T15:47:25Z</dcterms:created>
  <dcterms:modified xsi:type="dcterms:W3CDTF">2026-09-10T01:39:41Z</dcterms:modified>
</cp:coreProperties>
</file>