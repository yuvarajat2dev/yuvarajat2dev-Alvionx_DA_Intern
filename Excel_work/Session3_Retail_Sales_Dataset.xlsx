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rwn_\OneDrive\Desktop\New folder\"/>
    </mc:Choice>
  </mc:AlternateContent>
  <xr:revisionPtr revIDLastSave="0" documentId="8_{C098481B-2F72-4D05-9922-A870B7DA622A}" xr6:coauthVersionLast="47" xr6:coauthVersionMax="47" xr10:uidLastSave="{00000000-0000-0000-0000-000000000000}"/>
  <bookViews>
    <workbookView xWindow="-120" yWindow="-120" windowWidth="20730" windowHeight="11040" tabRatio="500" xr2:uid="{00000000-000D-0000-FFFF-FFFF00000000}"/>
  </bookViews>
  <sheets>
    <sheet name="Instructions" sheetId="1" r:id="rId1"/>
    <sheet name="Sheet1" sheetId="3" r:id="rId2"/>
    <sheet name="Sheet3" sheetId="5" r:id="rId3"/>
    <sheet name="Sheet5" sheetId="7" r:id="rId4"/>
    <sheet name="Sheet6" sheetId="8" r:id="rId5"/>
    <sheet name="Sales_Data" sheetId="2" r:id="rId6"/>
  </sheets>
  <definedNames>
    <definedName name="_xlnm._FilterDatabase" localSheetId="5" hidden="1">Sales_Data!$A$4:$H$204</definedName>
    <definedName name="Slicer_Region">#N/A</definedName>
  </definedNames>
  <calcPr calcId="191029"/>
  <pivotCaches>
    <pivotCache cacheId="14"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H204" i="2" l="1"/>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K5" i="2"/>
  <c r="H5" i="2"/>
  <c r="K3" i="2"/>
  <c r="K4" i="2" l="1"/>
</calcChain>
</file>

<file path=xl/sharedStrings.xml><?xml version="1.0" encoding="utf-8"?>
<sst xmlns="http://schemas.openxmlformats.org/spreadsheetml/2006/main" count="873" uniqueCount="270">
  <si>
    <t>AlvionX Data Analytics Internship</t>
  </si>
  <si>
    <t>Week 1 - Session 3: Pivot Tables, Charts &amp; Dashboard Basics | Retail Sales Dataset</t>
  </si>
  <si>
    <t>Sheet</t>
  </si>
  <si>
    <t>What it contains / What to do</t>
  </si>
  <si>
    <t>Sales_Data</t>
  </si>
  <si>
    <t>200 clean retail transactions across July 2026 - Region, Product Category, Quantity, Unit Price, and a Total Sales formula. Ready for pivot tables, no cleaning needed.</t>
  </si>
  <si>
    <t>PART 1 - PIVOT TABLE PRACTICE</t>
  </si>
  <si>
    <t>1. Select the Sales_Data table (or any cell inside it) -&gt; Insert -&gt; PivotTable -&gt; New Worksheet.</t>
  </si>
  <si>
    <t>2. Build a pivot: Region in Rows, Sum of Total Sales in Values.</t>
  </si>
  <si>
    <t>3. Add Product Category to Columns to see the breakdown by region AND category.</t>
  </si>
  <si>
    <t>4. Try changing the Values calculation: Sum -&gt; Average -&gt; Count (right-click a value -&gt; Summarize Values By).</t>
  </si>
  <si>
    <t>MINI EXERCISE (from Session 3, Part 1)</t>
  </si>
  <si>
    <t>Build a pivot table showing Total Sales by Region.</t>
  </si>
  <si>
    <t>Build a second pivot table showing Quantity by Product Category.</t>
  </si>
  <si>
    <t>PART 2 - PIVOT CHARTS &amp; SLICERS</t>
  </si>
  <si>
    <t>1. Select your pivot table -&gt; Insert -&gt; PivotChart -&gt; choose Column or Bar.</t>
  </si>
  <si>
    <t>2. Insert -&gt; Slicer -&gt; choose Region (or Product Category) and test filtering live.</t>
  </si>
  <si>
    <t>PART 3 - CHART TYPES PRACTICE</t>
  </si>
  <si>
    <t>Build a bar chart: Total Sales by Region (comparing categories).</t>
  </si>
  <si>
    <t>Build a line chart: Total Sales by Date (trend over time - use the Date column).</t>
  </si>
  <si>
    <t>Build a pie chart: Total Sales by Product Category (5 categories - share of whole).</t>
  </si>
  <si>
    <t>CAPSTONE KICKOFF - RETAIL SALES ANALYSIS PROJECT</t>
  </si>
  <si>
    <t>Deliverable: a one-page summary + 2-3 visuals answering:</t>
  </si>
  <si>
    <t xml:space="preserve">  1. Which region generates the most revenue?</t>
  </si>
  <si>
    <t xml:space="preserve">  2. Which product category sells best, and does that vary by region?</t>
  </si>
  <si>
    <t xml:space="preserve">  3. Is there a noticeable sales trend over the month?</t>
  </si>
  <si>
    <t>Use the pivot tables, pivot charts, and dashboard layout skills from Session 3 on this full dataset.</t>
  </si>
  <si>
    <t>Retail Sales Analysis - Practice Dataset</t>
  </si>
  <si>
    <t>Clean data, ready for pivot tables, pivot charts, and the capstone project</t>
  </si>
  <si>
    <t>Quick Reference (not a pivot table)</t>
  </si>
  <si>
    <t>Total Transactions:</t>
  </si>
  <si>
    <t>Transaction ID</t>
  </si>
  <si>
    <t>Date</t>
  </si>
  <si>
    <t>Region</t>
  </si>
  <si>
    <t>Product Category</t>
  </si>
  <si>
    <t>Product Name</t>
  </si>
  <si>
    <t>Quantity</t>
  </si>
  <si>
    <t>Unit Price</t>
  </si>
  <si>
    <t>Total Sales</t>
  </si>
  <si>
    <t>Total Revenue:</t>
  </si>
  <si>
    <t>TXN5002</t>
  </si>
  <si>
    <t>West</t>
  </si>
  <si>
    <t>Home &amp; Kitchen</t>
  </si>
  <si>
    <t>Ceramic Mug Set</t>
  </si>
  <si>
    <t>Date Range:</t>
  </si>
  <si>
    <t>TXN5001</t>
  </si>
  <si>
    <t>North</t>
  </si>
  <si>
    <t>TXN5000</t>
  </si>
  <si>
    <t>South</t>
  </si>
  <si>
    <t>Furniture</t>
  </si>
  <si>
    <t>Study Table Lamp</t>
  </si>
  <si>
    <t>TXN5003</t>
  </si>
  <si>
    <t>Electronics</t>
  </si>
  <si>
    <t>Wireless Mouse Pro</t>
  </si>
  <si>
    <t>TXN5005</t>
  </si>
  <si>
    <t>Stationery</t>
  </si>
  <si>
    <t>Notebook Set</t>
  </si>
  <si>
    <t>TXN5006</t>
  </si>
  <si>
    <t>East</t>
  </si>
  <si>
    <t>Bluetooth Headphones</t>
  </si>
  <si>
    <t>TXN5007</t>
  </si>
  <si>
    <t>Apparel</t>
  </si>
  <si>
    <t>Denim Jacket</t>
  </si>
  <si>
    <t>TXN5004</t>
  </si>
  <si>
    <t>Cotton T-Shirt</t>
  </si>
  <si>
    <t>TXN5014</t>
  </si>
  <si>
    <t>TXN5010</t>
  </si>
  <si>
    <t>Office Chair</t>
  </si>
  <si>
    <t>TXN5012</t>
  </si>
  <si>
    <t>TXN5013</t>
  </si>
  <si>
    <t>TXN5017</t>
  </si>
  <si>
    <t>Non-Stick Pan</t>
  </si>
  <si>
    <t>TXN5016</t>
  </si>
  <si>
    <t>TXN5015</t>
  </si>
  <si>
    <t>Bookshelf</t>
  </si>
  <si>
    <t>TXN5018</t>
  </si>
  <si>
    <t>Portable Speaker</t>
  </si>
  <si>
    <t>TXN5019</t>
  </si>
  <si>
    <t>Air Fryer XL</t>
  </si>
  <si>
    <t>TXN5022</t>
  </si>
  <si>
    <t>TXN5021</t>
  </si>
  <si>
    <t>TXN5023</t>
  </si>
  <si>
    <t>TXN5025</t>
  </si>
  <si>
    <t>TXN5024</t>
  </si>
  <si>
    <t>TXN5026</t>
  </si>
  <si>
    <t>TXN5027</t>
  </si>
  <si>
    <t>Gel Pen Pack</t>
  </si>
  <si>
    <t>TXN5028</t>
  </si>
  <si>
    <t>TXN5029</t>
  </si>
  <si>
    <t>TXN5030</t>
  </si>
  <si>
    <t>TXN5033</t>
  </si>
  <si>
    <t>Running Shoes</t>
  </si>
  <si>
    <t>TXN5032</t>
  </si>
  <si>
    <t>TXN5034</t>
  </si>
  <si>
    <t>TXN5031</t>
  </si>
  <si>
    <t>TXN5035</t>
  </si>
  <si>
    <t>TXN5039</t>
  </si>
  <si>
    <t>TXN5040</t>
  </si>
  <si>
    <t>TXN5037</t>
  </si>
  <si>
    <t>TXN5036</t>
  </si>
  <si>
    <t>TXN5038</t>
  </si>
  <si>
    <t>TXN5041</t>
  </si>
  <si>
    <t>TXN5043</t>
  </si>
  <si>
    <t>TXN5044</t>
  </si>
  <si>
    <t>TXN5045</t>
  </si>
  <si>
    <t>TXN5042</t>
  </si>
  <si>
    <t>TXN5049</t>
  </si>
  <si>
    <t>TXN5048</t>
  </si>
  <si>
    <t>TXN5051</t>
  </si>
  <si>
    <t>Desk Organizer</t>
  </si>
  <si>
    <t>TXN5047</t>
  </si>
  <si>
    <t>TXN5050</t>
  </si>
  <si>
    <t>TXN5053</t>
  </si>
  <si>
    <t>TXN5057</t>
  </si>
  <si>
    <t>TXN5056</t>
  </si>
  <si>
    <t>TXN5052</t>
  </si>
  <si>
    <t>TXN5054</t>
  </si>
  <si>
    <t>TXN5055</t>
  </si>
  <si>
    <t>TXN5062</t>
  </si>
  <si>
    <t>TXN5061</t>
  </si>
  <si>
    <t>TXN5060</t>
  </si>
  <si>
    <t>TXN5058</t>
  </si>
  <si>
    <t>TXN5059</t>
  </si>
  <si>
    <t>TXN5064</t>
  </si>
  <si>
    <t>TXN5068</t>
  </si>
  <si>
    <t>TXN5066</t>
  </si>
  <si>
    <t>TXN5063</t>
  </si>
  <si>
    <t>TXN5067</t>
  </si>
  <si>
    <t>TXN5065</t>
  </si>
  <si>
    <t>TXN5070</t>
  </si>
  <si>
    <t>TXN5072</t>
  </si>
  <si>
    <t>TXN5071</t>
  </si>
  <si>
    <t>TXN5069</t>
  </si>
  <si>
    <t>TXN5073</t>
  </si>
  <si>
    <t>TXN5074</t>
  </si>
  <si>
    <t>TXN5076</t>
  </si>
  <si>
    <t>TXN5081</t>
  </si>
  <si>
    <t>TXN5080</t>
  </si>
  <si>
    <t>TXN5077</t>
  </si>
  <si>
    <t>TXN5078</t>
  </si>
  <si>
    <t>TXN5079</t>
  </si>
  <si>
    <t>TXN5075</t>
  </si>
  <si>
    <t>TXN5088</t>
  </si>
  <si>
    <t>TXN5082</t>
  </si>
  <si>
    <t>TXN5085</t>
  </si>
  <si>
    <t>TXN5089</t>
  </si>
  <si>
    <t>TXN5086</t>
  </si>
  <si>
    <t>TXN5084</t>
  </si>
  <si>
    <t>TXN5083</t>
  </si>
  <si>
    <t>TXN5087</t>
  </si>
  <si>
    <t>TXN5091</t>
  </si>
  <si>
    <t>TXN5097</t>
  </si>
  <si>
    <t>TXN5092</t>
  </si>
  <si>
    <t>TXN5096</t>
  </si>
  <si>
    <t>TXN5090</t>
  </si>
  <si>
    <t>TXN5093</t>
  </si>
  <si>
    <t>TXN5095</t>
  </si>
  <si>
    <t>TXN5094</t>
  </si>
  <si>
    <t>TXN5102</t>
  </si>
  <si>
    <t>TXN5101</t>
  </si>
  <si>
    <t>TXN5105</t>
  </si>
  <si>
    <t>TXN5104</t>
  </si>
  <si>
    <t>TXN5100</t>
  </si>
  <si>
    <t>TXN5098</t>
  </si>
  <si>
    <t>TXN5099</t>
  </si>
  <si>
    <t>TXN5110</t>
  </si>
  <si>
    <t>TXN5107</t>
  </si>
  <si>
    <t>TXN5109</t>
  </si>
  <si>
    <t>TXN5112</t>
  </si>
  <si>
    <t>TXN5114</t>
  </si>
  <si>
    <t>TXN5111</t>
  </si>
  <si>
    <t>TXN5108</t>
  </si>
  <si>
    <t>TXN5113</t>
  </si>
  <si>
    <t>TXN5118</t>
  </si>
  <si>
    <t>TXN5117</t>
  </si>
  <si>
    <t>TXN5116</t>
  </si>
  <si>
    <t>TXN5119</t>
  </si>
  <si>
    <t>TXN5122</t>
  </si>
  <si>
    <t>TXN5115</t>
  </si>
  <si>
    <t>TXN5121</t>
  </si>
  <si>
    <t>TXN5120</t>
  </si>
  <si>
    <t>TXN5129</t>
  </si>
  <si>
    <t>TXN5130</t>
  </si>
  <si>
    <t>TXN5128</t>
  </si>
  <si>
    <t>TXN5126</t>
  </si>
  <si>
    <t>TXN5131</t>
  </si>
  <si>
    <t>TXN5124</t>
  </si>
  <si>
    <t>TXN5125</t>
  </si>
  <si>
    <t>TXN5138</t>
  </si>
  <si>
    <t>TXN5136</t>
  </si>
  <si>
    <t>TXN5139</t>
  </si>
  <si>
    <t>TXN5133</t>
  </si>
  <si>
    <t>TXN5132</t>
  </si>
  <si>
    <t>TXN5134</t>
  </si>
  <si>
    <t>TXN5140</t>
  </si>
  <si>
    <t>TXN5137</t>
  </si>
  <si>
    <t>TXN5135</t>
  </si>
  <si>
    <t>TXN5146</t>
  </si>
  <si>
    <t>TXN5141</t>
  </si>
  <si>
    <t>TXN5144</t>
  </si>
  <si>
    <t>TXN5143</t>
  </si>
  <si>
    <t>TXN5145</t>
  </si>
  <si>
    <t>TXN5142</t>
  </si>
  <si>
    <t>TXN5153</t>
  </si>
  <si>
    <t>TXN5154</t>
  </si>
  <si>
    <t>TXN5151</t>
  </si>
  <si>
    <t>TXN5150</t>
  </si>
  <si>
    <t>TXN5152</t>
  </si>
  <si>
    <t>TXN5149</t>
  </si>
  <si>
    <t>TXN5157</t>
  </si>
  <si>
    <t>TXN5158</t>
  </si>
  <si>
    <t>TXN5161</t>
  </si>
  <si>
    <t>TXN5155</t>
  </si>
  <si>
    <t>TXN5162</t>
  </si>
  <si>
    <t>TXN5156</t>
  </si>
  <si>
    <t>TXN5159</t>
  </si>
  <si>
    <t>TXN5160</t>
  </si>
  <si>
    <t>TXN5166</t>
  </si>
  <si>
    <t>TXN5168</t>
  </si>
  <si>
    <t>TXN5170</t>
  </si>
  <si>
    <t>TXN5165</t>
  </si>
  <si>
    <t>TXN5164</t>
  </si>
  <si>
    <t>TXN5167</t>
  </si>
  <si>
    <t>TXN5169</t>
  </si>
  <si>
    <t>TXN5172</t>
  </si>
  <si>
    <t>TXN5179</t>
  </si>
  <si>
    <t>TXN5178</t>
  </si>
  <si>
    <t>TXN5176</t>
  </si>
  <si>
    <t>TXN5171</t>
  </si>
  <si>
    <t>TXN5174</t>
  </si>
  <si>
    <t>TXN5173</t>
  </si>
  <si>
    <t>TXN5175</t>
  </si>
  <si>
    <t>TXN5177</t>
  </si>
  <si>
    <t>TXN5180</t>
  </si>
  <si>
    <t>TXN5186</t>
  </si>
  <si>
    <t>TXN5183</t>
  </si>
  <si>
    <t>TXN5188</t>
  </si>
  <si>
    <t>TXN5182</t>
  </si>
  <si>
    <t>TXN5181</t>
  </si>
  <si>
    <t>TXN5187</t>
  </si>
  <si>
    <t>TXN5185</t>
  </si>
  <si>
    <t>TXN5184</t>
  </si>
  <si>
    <t>TXN5191</t>
  </si>
  <si>
    <t>TXN5192</t>
  </si>
  <si>
    <t>TXN5194</t>
  </si>
  <si>
    <t>TXN5196</t>
  </si>
  <si>
    <t>TXN5190</t>
  </si>
  <si>
    <t>TXN5193</t>
  </si>
  <si>
    <t>TXN5189</t>
  </si>
  <si>
    <t>TXN5195</t>
  </si>
  <si>
    <t>TXN5204</t>
  </si>
  <si>
    <t>TXN5201</t>
  </si>
  <si>
    <t>TXN5202</t>
  </si>
  <si>
    <t>TXN5198</t>
  </si>
  <si>
    <t>TXN5205</t>
  </si>
  <si>
    <t>TXN5203</t>
  </si>
  <si>
    <t>TXN5199</t>
  </si>
  <si>
    <t>TXN5213</t>
  </si>
  <si>
    <t>TXN5207</t>
  </si>
  <si>
    <t>TXN5214</t>
  </si>
  <si>
    <t>TXN5210</t>
  </si>
  <si>
    <t>TXN5208</t>
  </si>
  <si>
    <t>TXN5211</t>
  </si>
  <si>
    <t>TXN5212</t>
  </si>
  <si>
    <t>TXN5209</t>
  </si>
  <si>
    <t>Row Labels</t>
  </si>
  <si>
    <t>Grand Total</t>
  </si>
  <si>
    <t>Sum of Total Sales</t>
  </si>
  <si>
    <t>Column Labels</t>
  </si>
  <si>
    <t>Count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</si>
</sst>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m\-yyyy"/>
  </numFmts>
  <fonts count="7" x14ac:knownFonts="1">
    <font>
      <sz val="11"/>
      <color theme="1"/>
      <name val="Calibri"/>
      <family val="2"/>
      <charset val="1"/>
    </font>
    <font>
      <b/>
      <sz val="16"/>
      <color rgb="FF1F4E78"/>
      <name val="Arial"/>
      <family val="2"/>
    </font>
    <font>
      <i/>
      <sz val="10"/>
      <color rgb="FF595959"/>
      <name val="Arial"/>
      <family val="2"/>
    </font>
    <font>
      <sz val="10"/>
      <name val="Arial"/>
      <family val="2"/>
    </font>
    <font>
      <b/>
      <sz val="11"/>
      <name val="Arial"/>
      <family val="2"/>
    </font>
    <font>
      <b/>
      <sz val="10"/>
      <name val="Arial"/>
      <family val="2"/>
    </font>
    <font>
      <b/>
      <sz val="11"/>
      <color rgb="FFFFFFFF"/>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4" fillId="0" borderId="0" xfId="0" applyFont="1"/>
    <xf numFmtId="0" fontId="5" fillId="0" borderId="0" xfId="0" applyFont="1"/>
    <xf numFmtId="0" fontId="6" fillId="2" borderId="1" xfId="0" applyFont="1" applyFill="1" applyBorder="1" applyAlignment="1">
      <alignment horizontal="center" vertical="center" wrapText="1"/>
    </xf>
    <xf numFmtId="3" fontId="3" fillId="0" borderId="0" xfId="0" applyNumberFormat="1" applyFont="1"/>
    <xf numFmtId="0" fontId="3" fillId="0" borderId="1" xfId="0" applyFont="1" applyBorder="1"/>
    <xf numFmtId="164" fontId="3" fillId="0" borderId="1" xfId="0" applyNumberFormat="1" applyFont="1" applyBorder="1"/>
    <xf numFmtId="3" fontId="3" fillId="0" borderId="1" xfId="0" applyNumberFormat="1" applyFont="1"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xf>
  </cellXfs>
  <cellStyles count="1">
    <cellStyle name="Normal" xfId="0" builtinId="0"/>
  </cellStyles>
  <dxfs count="1">
    <dxf>
      <font>
        <b/>
        <i val="0"/>
        <sz val="10"/>
        <name val="Cambria"/>
        <family val="1"/>
        <scheme val="major"/>
      </font>
      <fill>
        <gradientFill degree="225">
          <stop position="0">
            <color theme="0"/>
          </stop>
          <stop position="1">
            <color theme="9" tint="0.40000610370189521"/>
          </stop>
        </gradientFill>
      </fill>
      <border diagonalUp="0" diagonalDown="0">
        <left/>
        <right/>
        <top/>
        <bottom/>
        <vertical/>
        <horizontal/>
      </border>
    </dxf>
  </dxfs>
  <tableStyles count="1" defaultTableStyle="TableStyleMedium2" defaultPivotStyle="PivotStyleLight16">
    <tableStyle name="Slicer Style 1" pivot="0" table="0" count="3" xr9:uid="{C355B832-B918-4210-AA78-9A6B75A9F1AA}">
      <tableStyleElement type="wholeTable" dxfId="0"/>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2">
        <dxf>
          <fill>
            <gradientFill degree="225">
              <stop position="0">
                <color theme="0"/>
              </stop>
              <stop position="1">
                <color theme="9" tint="-0.25098422193060094"/>
              </stop>
            </gradientFill>
          </fill>
        </dxf>
        <dxf>
          <fill>
            <gradientFill degree="225">
              <stop position="0">
                <color theme="0"/>
              </stop>
              <stop position="1">
                <color theme="9" tint="0.80001220740379042"/>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[Session3_Retail_Sales_Dataset.xlsx]Sheet1!PivotTable1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13648293963255"/>
          <c:y val="0.15638670166229221"/>
          <c:w val="0.66536351706036745"/>
          <c:h val="0.65853091280256637"/>
        </c:manualLayout>
      </c:layout>
      <c:barChart>
        <c:barDir val="col"/>
        <c:grouping val="clustered"/>
        <c:varyColors val="0"/>
        <c:ser>
          <c:idx val="0"/>
          <c:order val="0"/>
          <c:tx>
            <c:strRef>
              <c:f>Sheet1!$B$3:$B$4</c:f>
              <c:strCache>
                <c:ptCount val="1"/>
                <c:pt idx="0">
                  <c:v>Apparel</c:v>
                </c:pt>
              </c:strCache>
            </c:strRef>
          </c:tx>
          <c:spPr>
            <a:solidFill>
              <a:schemeClr val="accent1"/>
            </a:solidFill>
            <a:ln>
              <a:noFill/>
            </a:ln>
            <a:effectLst/>
          </c:spPr>
          <c:invertIfNegative val="0"/>
          <c:cat>
            <c:strRef>
              <c:f>Sheet1!$A$5:$A$9</c:f>
              <c:strCache>
                <c:ptCount val="4"/>
                <c:pt idx="0">
                  <c:v>East</c:v>
                </c:pt>
                <c:pt idx="1">
                  <c:v>North</c:v>
                </c:pt>
                <c:pt idx="2">
                  <c:v>South</c:v>
                </c:pt>
                <c:pt idx="3">
                  <c:v>West</c:v>
                </c:pt>
              </c:strCache>
            </c:strRef>
          </c:cat>
          <c:val>
            <c:numRef>
              <c:f>Sheet1!$B$5:$B$9</c:f>
              <c:numCache>
                <c:formatCode>General</c:formatCode>
                <c:ptCount val="4"/>
                <c:pt idx="0">
                  <c:v>6</c:v>
                </c:pt>
                <c:pt idx="1">
                  <c:v>13</c:v>
                </c:pt>
                <c:pt idx="2">
                  <c:v>9</c:v>
                </c:pt>
                <c:pt idx="3">
                  <c:v>8</c:v>
                </c:pt>
              </c:numCache>
            </c:numRef>
          </c:val>
          <c:extLst>
            <c:ext xmlns:c16="http://schemas.microsoft.com/office/drawing/2014/chart" uri="{C3380CC4-5D6E-409C-BE32-E72D297353CC}">
              <c16:uniqueId val="{00000000-49EE-42C0-A405-CC30A51B4EFB}"/>
            </c:ext>
          </c:extLst>
        </c:ser>
        <c:ser>
          <c:idx val="1"/>
          <c:order val="1"/>
          <c:tx>
            <c:strRef>
              <c:f>Sheet1!$C$3:$C$4</c:f>
              <c:strCache>
                <c:ptCount val="1"/>
                <c:pt idx="0">
                  <c:v>Electronics</c:v>
                </c:pt>
              </c:strCache>
            </c:strRef>
          </c:tx>
          <c:spPr>
            <a:solidFill>
              <a:schemeClr val="accent2"/>
            </a:solidFill>
            <a:ln>
              <a:noFill/>
            </a:ln>
            <a:effectLst/>
          </c:spPr>
          <c:invertIfNegative val="0"/>
          <c:cat>
            <c:strRef>
              <c:f>Sheet1!$A$5:$A$9</c:f>
              <c:strCache>
                <c:ptCount val="4"/>
                <c:pt idx="0">
                  <c:v>East</c:v>
                </c:pt>
                <c:pt idx="1">
                  <c:v>North</c:v>
                </c:pt>
                <c:pt idx="2">
                  <c:v>South</c:v>
                </c:pt>
                <c:pt idx="3">
                  <c:v>West</c:v>
                </c:pt>
              </c:strCache>
            </c:strRef>
          </c:cat>
          <c:val>
            <c:numRef>
              <c:f>Sheet1!$C$5:$C$9</c:f>
              <c:numCache>
                <c:formatCode>General</c:formatCode>
                <c:ptCount val="4"/>
                <c:pt idx="0">
                  <c:v>4</c:v>
                </c:pt>
                <c:pt idx="1">
                  <c:v>28</c:v>
                </c:pt>
                <c:pt idx="2">
                  <c:v>20</c:v>
                </c:pt>
                <c:pt idx="3">
                  <c:v>5</c:v>
                </c:pt>
              </c:numCache>
            </c:numRef>
          </c:val>
          <c:extLst>
            <c:ext xmlns:c16="http://schemas.microsoft.com/office/drawing/2014/chart" uri="{C3380CC4-5D6E-409C-BE32-E72D297353CC}">
              <c16:uniqueId val="{00000001-49EE-42C0-A405-CC30A51B4EFB}"/>
            </c:ext>
          </c:extLst>
        </c:ser>
        <c:ser>
          <c:idx val="2"/>
          <c:order val="2"/>
          <c:tx>
            <c:strRef>
              <c:f>Sheet1!$D$3:$D$4</c:f>
              <c:strCache>
                <c:ptCount val="1"/>
                <c:pt idx="0">
                  <c:v>Furniture</c:v>
                </c:pt>
              </c:strCache>
            </c:strRef>
          </c:tx>
          <c:spPr>
            <a:solidFill>
              <a:schemeClr val="accent3"/>
            </a:solidFill>
            <a:ln>
              <a:noFill/>
            </a:ln>
            <a:effectLst/>
          </c:spPr>
          <c:invertIfNegative val="0"/>
          <c:cat>
            <c:strRef>
              <c:f>Sheet1!$A$5:$A$9</c:f>
              <c:strCache>
                <c:ptCount val="4"/>
                <c:pt idx="0">
                  <c:v>East</c:v>
                </c:pt>
                <c:pt idx="1">
                  <c:v>North</c:v>
                </c:pt>
                <c:pt idx="2">
                  <c:v>South</c:v>
                </c:pt>
                <c:pt idx="3">
                  <c:v>West</c:v>
                </c:pt>
              </c:strCache>
            </c:strRef>
          </c:cat>
          <c:val>
            <c:numRef>
              <c:f>Sheet1!$D$5:$D$9</c:f>
              <c:numCache>
                <c:formatCode>General</c:formatCode>
                <c:ptCount val="4"/>
                <c:pt idx="0">
                  <c:v>7</c:v>
                </c:pt>
                <c:pt idx="1">
                  <c:v>11</c:v>
                </c:pt>
                <c:pt idx="2">
                  <c:v>11</c:v>
                </c:pt>
                <c:pt idx="3">
                  <c:v>7</c:v>
                </c:pt>
              </c:numCache>
            </c:numRef>
          </c:val>
          <c:extLst>
            <c:ext xmlns:c16="http://schemas.microsoft.com/office/drawing/2014/chart" uri="{C3380CC4-5D6E-409C-BE32-E72D297353CC}">
              <c16:uniqueId val="{00000002-49EE-42C0-A405-CC30A51B4EFB}"/>
            </c:ext>
          </c:extLst>
        </c:ser>
        <c:ser>
          <c:idx val="3"/>
          <c:order val="3"/>
          <c:tx>
            <c:strRef>
              <c:f>Sheet1!$E$3:$E$4</c:f>
              <c:strCache>
                <c:ptCount val="1"/>
                <c:pt idx="0">
                  <c:v>Home &amp; Kitchen</c:v>
                </c:pt>
              </c:strCache>
            </c:strRef>
          </c:tx>
          <c:spPr>
            <a:solidFill>
              <a:schemeClr val="accent4"/>
            </a:solidFill>
            <a:ln>
              <a:noFill/>
            </a:ln>
            <a:effectLst/>
          </c:spPr>
          <c:invertIfNegative val="0"/>
          <c:cat>
            <c:strRef>
              <c:f>Sheet1!$A$5:$A$9</c:f>
              <c:strCache>
                <c:ptCount val="4"/>
                <c:pt idx="0">
                  <c:v>East</c:v>
                </c:pt>
                <c:pt idx="1">
                  <c:v>North</c:v>
                </c:pt>
                <c:pt idx="2">
                  <c:v>South</c:v>
                </c:pt>
                <c:pt idx="3">
                  <c:v>West</c:v>
                </c:pt>
              </c:strCache>
            </c:strRef>
          </c:cat>
          <c:val>
            <c:numRef>
              <c:f>Sheet1!$E$5:$E$9</c:f>
              <c:numCache>
                <c:formatCode>General</c:formatCode>
                <c:ptCount val="4"/>
                <c:pt idx="0">
                  <c:v>12</c:v>
                </c:pt>
                <c:pt idx="1">
                  <c:v>17</c:v>
                </c:pt>
                <c:pt idx="2">
                  <c:v>10</c:v>
                </c:pt>
                <c:pt idx="3">
                  <c:v>5</c:v>
                </c:pt>
              </c:numCache>
            </c:numRef>
          </c:val>
          <c:extLst>
            <c:ext xmlns:c16="http://schemas.microsoft.com/office/drawing/2014/chart" uri="{C3380CC4-5D6E-409C-BE32-E72D297353CC}">
              <c16:uniqueId val="{00000003-49EE-42C0-A405-CC30A51B4EFB}"/>
            </c:ext>
          </c:extLst>
        </c:ser>
        <c:ser>
          <c:idx val="4"/>
          <c:order val="4"/>
          <c:tx>
            <c:strRef>
              <c:f>Sheet1!$F$3:$F$4</c:f>
              <c:strCache>
                <c:ptCount val="1"/>
                <c:pt idx="0">
                  <c:v>Stationery</c:v>
                </c:pt>
              </c:strCache>
            </c:strRef>
          </c:tx>
          <c:spPr>
            <a:solidFill>
              <a:schemeClr val="accent5"/>
            </a:solidFill>
            <a:ln>
              <a:noFill/>
            </a:ln>
            <a:effectLst/>
          </c:spPr>
          <c:invertIfNegative val="0"/>
          <c:cat>
            <c:strRef>
              <c:f>Sheet1!$A$5:$A$9</c:f>
              <c:strCache>
                <c:ptCount val="4"/>
                <c:pt idx="0">
                  <c:v>East</c:v>
                </c:pt>
                <c:pt idx="1">
                  <c:v>North</c:v>
                </c:pt>
                <c:pt idx="2">
                  <c:v>South</c:v>
                </c:pt>
                <c:pt idx="3">
                  <c:v>West</c:v>
                </c:pt>
              </c:strCache>
            </c:strRef>
          </c:cat>
          <c:val>
            <c:numRef>
              <c:f>Sheet1!$F$5:$F$9</c:f>
              <c:numCache>
                <c:formatCode>General</c:formatCode>
                <c:ptCount val="4"/>
                <c:pt idx="0">
                  <c:v>4</c:v>
                </c:pt>
                <c:pt idx="1">
                  <c:v>9</c:v>
                </c:pt>
                <c:pt idx="2">
                  <c:v>10</c:v>
                </c:pt>
                <c:pt idx="3">
                  <c:v>4</c:v>
                </c:pt>
              </c:numCache>
            </c:numRef>
          </c:val>
          <c:extLst>
            <c:ext xmlns:c16="http://schemas.microsoft.com/office/drawing/2014/chart" uri="{C3380CC4-5D6E-409C-BE32-E72D297353CC}">
              <c16:uniqueId val="{00000004-49EE-42C0-A405-CC30A51B4EFB}"/>
            </c:ext>
          </c:extLst>
        </c:ser>
        <c:dLbls>
          <c:showLegendKey val="0"/>
          <c:showVal val="0"/>
          <c:showCatName val="0"/>
          <c:showSerName val="0"/>
          <c:showPercent val="0"/>
          <c:showBubbleSize val="0"/>
        </c:dLbls>
        <c:gapWidth val="219"/>
        <c:overlap val="-27"/>
        <c:axId val="1431222559"/>
        <c:axId val="1431222079"/>
      </c:barChart>
      <c:catAx>
        <c:axId val="143122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222079"/>
        <c:crosses val="autoZero"/>
        <c:auto val="1"/>
        <c:lblAlgn val="ctr"/>
        <c:lblOffset val="100"/>
        <c:noMultiLvlLbl val="0"/>
      </c:catAx>
      <c:valAx>
        <c:axId val="143122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22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[Session3_Retail_Sales_Dataset.xlsx]Sheet3!PivotTable5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87174836129777"/>
          <c:y val="0.30721208330902133"/>
          <c:w val="0.77867172362616976"/>
          <c:h val="0.47894428012711832"/>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East</c:v>
                </c:pt>
                <c:pt idx="1">
                  <c:v>North</c:v>
                </c:pt>
                <c:pt idx="2">
                  <c:v>South</c:v>
                </c:pt>
                <c:pt idx="3">
                  <c:v>West</c:v>
                </c:pt>
              </c:strCache>
            </c:strRef>
          </c:cat>
          <c:val>
            <c:numRef>
              <c:f>Sheet3!$B$4:$B$8</c:f>
              <c:numCache>
                <c:formatCode>General</c:formatCode>
                <c:ptCount val="4"/>
                <c:pt idx="0">
                  <c:v>247187</c:v>
                </c:pt>
                <c:pt idx="1">
                  <c:v>655217</c:v>
                </c:pt>
                <c:pt idx="2">
                  <c:v>463912</c:v>
                </c:pt>
                <c:pt idx="3">
                  <c:v>208818</c:v>
                </c:pt>
              </c:numCache>
            </c:numRef>
          </c:val>
          <c:extLst>
            <c:ext xmlns:c16="http://schemas.microsoft.com/office/drawing/2014/chart" uri="{C3380CC4-5D6E-409C-BE32-E72D297353CC}">
              <c16:uniqueId val="{00000000-9C96-4A07-B3AB-2A5C4C3334B8}"/>
            </c:ext>
          </c:extLst>
        </c:ser>
        <c:dLbls>
          <c:showLegendKey val="0"/>
          <c:showVal val="0"/>
          <c:showCatName val="0"/>
          <c:showSerName val="0"/>
          <c:showPercent val="0"/>
          <c:showBubbleSize val="0"/>
        </c:dLbls>
        <c:gapWidth val="219"/>
        <c:overlap val="-27"/>
        <c:axId val="1502579343"/>
        <c:axId val="1502575503"/>
      </c:barChart>
      <c:catAx>
        <c:axId val="150257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75503"/>
        <c:crosses val="autoZero"/>
        <c:auto val="1"/>
        <c:lblAlgn val="ctr"/>
        <c:lblOffset val="100"/>
        <c:noMultiLvlLbl val="0"/>
      </c:catAx>
      <c:valAx>
        <c:axId val="150257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7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[Session3_Retail_Sales_Dataset.xlsx]Sheet5!PivotTable7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Sheet5!$B$1</c:f>
              <c:strCache>
                <c:ptCount val="1"/>
                <c:pt idx="0">
                  <c:v>Total</c:v>
                </c:pt>
              </c:strCache>
            </c:strRef>
          </c:tx>
          <c:spPr>
            <a:ln w="28575" cap="rnd">
              <a:solidFill>
                <a:schemeClr val="accent1"/>
              </a:solidFill>
              <a:round/>
            </a:ln>
            <a:effectLst/>
          </c:spPr>
          <c:marker>
            <c:symbol val="none"/>
          </c:marker>
          <c:cat>
            <c:strRef>
              <c:f>Sheet5!$A$2:$A$33</c:f>
              <c:strCache>
                <c:ptCount val="31"/>
                <c:pt idx="0">
                  <c:v>01-Jul-2026</c:v>
                </c:pt>
                <c:pt idx="1">
                  <c:v>02-Jul-2026</c:v>
                </c:pt>
                <c:pt idx="2">
                  <c:v>03-Jul-2026</c:v>
                </c:pt>
                <c:pt idx="3">
                  <c:v>04-Jul-2026</c:v>
                </c:pt>
                <c:pt idx="4">
                  <c:v>05-Jul-2026</c:v>
                </c:pt>
                <c:pt idx="5">
                  <c:v>06-Jul-2026</c:v>
                </c:pt>
                <c:pt idx="6">
                  <c:v>07-Jul-2026</c:v>
                </c:pt>
                <c:pt idx="7">
                  <c:v>08-Jul-2026</c:v>
                </c:pt>
                <c:pt idx="8">
                  <c:v>09-Jul-2026</c:v>
                </c:pt>
                <c:pt idx="9">
                  <c:v>10-Jul-2026</c:v>
                </c:pt>
                <c:pt idx="10">
                  <c:v>11-Jul-2026</c:v>
                </c:pt>
                <c:pt idx="11">
                  <c:v>12-Jul-2026</c:v>
                </c:pt>
                <c:pt idx="12">
                  <c:v>13-Jul-2026</c:v>
                </c:pt>
                <c:pt idx="13">
                  <c:v>14-Jul-2026</c:v>
                </c:pt>
                <c:pt idx="14">
                  <c:v>15-Jul-2026</c:v>
                </c:pt>
                <c:pt idx="15">
                  <c:v>16-Jul-2026</c:v>
                </c:pt>
                <c:pt idx="16">
                  <c:v>17-Jul-2026</c:v>
                </c:pt>
                <c:pt idx="17">
                  <c:v>18-Jul-2026</c:v>
                </c:pt>
                <c:pt idx="18">
                  <c:v>19-Jul-2026</c:v>
                </c:pt>
                <c:pt idx="19">
                  <c:v>20-Jul-2026</c:v>
                </c:pt>
                <c:pt idx="20">
                  <c:v>21-Jul-2026</c:v>
                </c:pt>
                <c:pt idx="21">
                  <c:v>22-Jul-2026</c:v>
                </c:pt>
                <c:pt idx="22">
                  <c:v>23-Jul-2026</c:v>
                </c:pt>
                <c:pt idx="23">
                  <c:v>24-Jul-2026</c:v>
                </c:pt>
                <c:pt idx="24">
                  <c:v>25-Jul-2026</c:v>
                </c:pt>
                <c:pt idx="25">
                  <c:v>26-Jul-2026</c:v>
                </c:pt>
                <c:pt idx="26">
                  <c:v>27-Jul-2026</c:v>
                </c:pt>
                <c:pt idx="27">
                  <c:v>28-Jul-2026</c:v>
                </c:pt>
                <c:pt idx="28">
                  <c:v>29-Jul-2026</c:v>
                </c:pt>
                <c:pt idx="29">
                  <c:v>30-Jul-2026</c:v>
                </c:pt>
                <c:pt idx="30">
                  <c:v>31-Jul-2026</c:v>
                </c:pt>
              </c:strCache>
            </c:strRef>
          </c:cat>
          <c:val>
            <c:numRef>
              <c:f>Sheet5!$B$2:$B$33</c:f>
              <c:numCache>
                <c:formatCode>General</c:formatCode>
                <c:ptCount val="31"/>
                <c:pt idx="0">
                  <c:v>26950</c:v>
                </c:pt>
                <c:pt idx="1">
                  <c:v>27930</c:v>
                </c:pt>
                <c:pt idx="2">
                  <c:v>31500</c:v>
                </c:pt>
                <c:pt idx="3">
                  <c:v>59589</c:v>
                </c:pt>
                <c:pt idx="4">
                  <c:v>40640</c:v>
                </c:pt>
                <c:pt idx="5">
                  <c:v>57626</c:v>
                </c:pt>
                <c:pt idx="6">
                  <c:v>48769</c:v>
                </c:pt>
                <c:pt idx="7">
                  <c:v>41895</c:v>
                </c:pt>
                <c:pt idx="8">
                  <c:v>19211</c:v>
                </c:pt>
                <c:pt idx="9">
                  <c:v>33925</c:v>
                </c:pt>
                <c:pt idx="10">
                  <c:v>25550</c:v>
                </c:pt>
                <c:pt idx="11">
                  <c:v>22892</c:v>
                </c:pt>
                <c:pt idx="12">
                  <c:v>52135</c:v>
                </c:pt>
                <c:pt idx="13">
                  <c:v>53105</c:v>
                </c:pt>
                <c:pt idx="14">
                  <c:v>63970</c:v>
                </c:pt>
                <c:pt idx="15">
                  <c:v>57944</c:v>
                </c:pt>
                <c:pt idx="16">
                  <c:v>53573</c:v>
                </c:pt>
                <c:pt idx="17">
                  <c:v>64933</c:v>
                </c:pt>
                <c:pt idx="18">
                  <c:v>67829</c:v>
                </c:pt>
                <c:pt idx="19">
                  <c:v>65254</c:v>
                </c:pt>
                <c:pt idx="20">
                  <c:v>35452</c:v>
                </c:pt>
                <c:pt idx="21">
                  <c:v>79927</c:v>
                </c:pt>
                <c:pt idx="22">
                  <c:v>28528</c:v>
                </c:pt>
                <c:pt idx="23">
                  <c:v>54531</c:v>
                </c:pt>
                <c:pt idx="24">
                  <c:v>86370</c:v>
                </c:pt>
                <c:pt idx="25">
                  <c:v>17535</c:v>
                </c:pt>
                <c:pt idx="26">
                  <c:v>72579</c:v>
                </c:pt>
                <c:pt idx="27">
                  <c:v>40417</c:v>
                </c:pt>
                <c:pt idx="28">
                  <c:v>114309</c:v>
                </c:pt>
                <c:pt idx="29">
                  <c:v>23281</c:v>
                </c:pt>
                <c:pt idx="30">
                  <c:v>106985</c:v>
                </c:pt>
              </c:numCache>
            </c:numRef>
          </c:val>
          <c:smooth val="0"/>
          <c:extLst>
            <c:ext xmlns:c16="http://schemas.microsoft.com/office/drawing/2014/chart" uri="{C3380CC4-5D6E-409C-BE32-E72D297353CC}">
              <c16:uniqueId val="{00000000-96C9-45DF-A5F6-44F1858275D5}"/>
            </c:ext>
          </c:extLst>
        </c:ser>
        <c:dLbls>
          <c:showLegendKey val="0"/>
          <c:showVal val="0"/>
          <c:showCatName val="0"/>
          <c:showSerName val="0"/>
          <c:showPercent val="0"/>
          <c:showBubbleSize val="0"/>
        </c:dLbls>
        <c:smooth val="0"/>
        <c:axId val="1502576463"/>
        <c:axId val="1502565903"/>
      </c:lineChart>
      <c:catAx>
        <c:axId val="150257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65903"/>
        <c:crosses val="autoZero"/>
        <c:auto val="1"/>
        <c:lblAlgn val="ctr"/>
        <c:lblOffset val="100"/>
        <c:noMultiLvlLbl val="0"/>
      </c:catAx>
      <c:valAx>
        <c:axId val="150256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7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[Session3_Retail_Sales_Dataset.xlsx]Sheet6!PivotTable8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Sheet6!$B$1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cat>
            <c:strRef>
              <c:f>Sheet6!$A$2:$A$7</c:f>
              <c:strCache>
                <c:ptCount val="5"/>
                <c:pt idx="0">
                  <c:v>Apparel</c:v>
                </c:pt>
                <c:pt idx="1">
                  <c:v>Electronics</c:v>
                </c:pt>
                <c:pt idx="2">
                  <c:v>Furniture</c:v>
                </c:pt>
                <c:pt idx="3">
                  <c:v>Home &amp; Kitchen</c:v>
                </c:pt>
                <c:pt idx="4">
                  <c:v>Stationery</c:v>
                </c:pt>
              </c:strCache>
            </c:strRef>
          </c:cat>
          <c:val>
            <c:numRef>
              <c:f>Sheet6!$B$2:$B$7</c:f>
              <c:numCache>
                <c:formatCode>General</c:formatCode>
                <c:ptCount val="5"/>
                <c:pt idx="0">
                  <c:v>216209</c:v>
                </c:pt>
                <c:pt idx="1">
                  <c:v>476633</c:v>
                </c:pt>
                <c:pt idx="2">
                  <c:v>555100</c:v>
                </c:pt>
                <c:pt idx="3">
                  <c:v>288752</c:v>
                </c:pt>
                <c:pt idx="4">
                  <c:v>38440</c:v>
                </c:pt>
              </c:numCache>
            </c:numRef>
          </c:val>
          <c:extLst>
            <c:ext xmlns:c16="http://schemas.microsoft.com/office/drawing/2014/chart" uri="{C3380CC4-5D6E-409C-BE32-E72D297353CC}">
              <c16:uniqueId val="{00000000-B24D-4E37-873E-BFECFB5A43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47625</xdr:colOff>
      <xdr:row>2</xdr:row>
      <xdr:rowOff>19050</xdr:rowOff>
    </xdr:from>
    <xdr:to>
      <xdr:col>12</xdr:col>
      <xdr:colOff>76200</xdr:colOff>
      <xdr:row>7</xdr:row>
      <xdr:rowOff>28575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35F87E41-9C81-8324-F132-0252D36828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72200" y="400050"/>
              <a:ext cx="3076575"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9525</xdr:colOff>
      <xdr:row>8</xdr:row>
      <xdr:rowOff>4762</xdr:rowOff>
    </xdr:from>
    <xdr:to>
      <xdr:col>14</xdr:col>
      <xdr:colOff>314325</xdr:colOff>
      <xdr:row>22</xdr:row>
      <xdr:rowOff>80962</xdr:rowOff>
    </xdr:to>
    <xdr:graphicFrame macro="">
      <xdr:nvGraphicFramePr>
        <xdr:cNvPr id="3" name="Chart 2">
          <a:extLst>
            <a:ext uri="{FF2B5EF4-FFF2-40B4-BE49-F238E27FC236}">
              <a16:creationId xmlns:a16="http://schemas.microsoft.com/office/drawing/2014/main" id="{7FFD9CE6-5D3E-2345-C654-5F025F9A9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147637</xdr:rowOff>
    </xdr:from>
    <xdr:to>
      <xdr:col>7</xdr:col>
      <xdr:colOff>381000</xdr:colOff>
      <xdr:row>21</xdr:row>
      <xdr:rowOff>104775</xdr:rowOff>
    </xdr:to>
    <xdr:graphicFrame macro="">
      <xdr:nvGraphicFramePr>
        <xdr:cNvPr id="2" name="Chart 1">
          <a:extLst>
            <a:ext uri="{FF2B5EF4-FFF2-40B4-BE49-F238E27FC236}">
              <a16:creationId xmlns:a16="http://schemas.microsoft.com/office/drawing/2014/main" id="{60A49E1F-9BAC-1F19-1A24-5D9931E07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B3D1553A-880B-2DAC-C5A2-A8A3ED98B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3269C480-7A9E-A9F1-287F-1BC9C5878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varaja TR" refreshedDate="46281.286818518522" createdVersion="8" refreshedVersion="8" minRefreshableVersion="3" recordCount="200" xr:uid="{040C628E-76C6-4312-B261-0EE48D9CA5D9}">
  <cacheSource type="worksheet">
    <worksheetSource ref="A4:H204" sheet="Sales_Data"/>
  </cacheSource>
  <cacheFields count="8">
    <cacheField name="Transaction ID" numFmtId="0">
      <sharedItems/>
    </cacheField>
    <cacheField name="Date" numFmtId="164">
      <sharedItems containsSemiMixedTypes="0" containsNonDate="0" containsDate="1" containsString="0" minDate="2026-07-01T00:00:00" maxDate="2026-08-01T00:00:00" count="31">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sharedItems>
    </cacheField>
    <cacheField name="Region" numFmtId="0">
      <sharedItems count="4">
        <s v="West"/>
        <s v="North"/>
        <s v="South"/>
        <s v="East"/>
      </sharedItems>
    </cacheField>
    <cacheField name="Product Category" numFmtId="0">
      <sharedItems count="5">
        <s v="Home &amp; Kitchen"/>
        <s v="Furniture"/>
        <s v="Electronics"/>
        <s v="Stationery"/>
        <s v="Apparel"/>
      </sharedItems>
    </cacheField>
    <cacheField name="Product Name" numFmtId="0">
      <sharedItems/>
    </cacheField>
    <cacheField name="Quantity" numFmtId="0">
      <sharedItems containsSemiMixedTypes="0" containsString="0" containsNumber="1" containsInteger="1" minValue="1" maxValue="12"/>
    </cacheField>
    <cacheField name="Unit Price" numFmtId="3">
      <sharedItems containsSemiMixedTypes="0" containsString="0" containsNumber="1" containsInteger="1" minValue="90" maxValue="3400"/>
    </cacheField>
    <cacheField name="Total Sales" numFmtId="3">
      <sharedItems containsSemiMixedTypes="0" containsString="0" containsNumber="1" containsInteger="1" minValue="90" maxValue="37400" count="113">
        <n v="3150"/>
        <n v="2800"/>
        <n v="19800"/>
        <n v="1200"/>
        <n v="600"/>
        <n v="10788"/>
        <n v="15192"/>
        <n v="1350"/>
        <n v="700"/>
        <n v="5000"/>
        <n v="12600"/>
        <n v="13200"/>
        <n v="3596"/>
        <n v="10800"/>
        <n v="34000"/>
        <n v="11193"/>
        <n v="22400"/>
        <n v="1800"/>
        <n v="450"/>
        <n v="15990"/>
        <n v="6400"/>
        <n v="27500"/>
        <n v="540"/>
        <n v="3600"/>
        <n v="1599"/>
        <n v="5580"/>
        <n v="10000"/>
        <n v="12800"/>
        <n v="1798"/>
        <n v="5697"/>
        <n v="2250"/>
        <n v="27200"/>
        <n v="1400"/>
        <n v="2700"/>
        <n v="720"/>
        <n v="14391"/>
        <n v="17500"/>
        <n v="2240"/>
        <n v="2697"/>
        <n v="9889"/>
        <n v="4960"/>
        <n v="12792"/>
        <n v="2400"/>
        <n v="7192"/>
        <n v="3200"/>
        <n v="3500"/>
        <n v="5400"/>
        <n v="12500"/>
        <n v="8990"/>
        <n v="960"/>
        <n v="16200"/>
        <n v="1280"/>
        <n v="18990"/>
        <n v="6000"/>
        <n v="17589"/>
        <n v="8091"/>
        <n v="1240"/>
        <n v="1650"/>
        <n v="37400"/>
        <n v="1080"/>
        <n v="2500"/>
        <n v="3840"/>
        <n v="5394"/>
        <n v="2480"/>
        <n v="2450"/>
        <n v="13293"/>
        <n v="1050"/>
        <n v="6200"/>
        <n v="9594"/>
        <n v="20400"/>
        <n v="350"/>
        <n v="899"/>
        <n v="7200"/>
        <n v="750"/>
        <n v="13600"/>
        <n v="8400"/>
        <n v="900"/>
        <n v="3198"/>
        <n v="20889"/>
        <n v="4495"/>
        <n v="1920"/>
        <n v="35200"/>
        <n v="4200"/>
        <n v="90"/>
        <n v="1750"/>
        <n v="2100"/>
        <n v="18000"/>
        <n v="7440"/>
        <n v="6396"/>
        <n v="1899"/>
        <n v="6293"/>
        <n v="30000"/>
        <n v="14400"/>
        <n v="360"/>
        <n v="7500"/>
        <n v="990"/>
        <n v="12000"/>
        <n v="6800"/>
        <n v="2880"/>
        <n v="3720"/>
        <n v="25600"/>
        <n v="7995"/>
        <n v="180"/>
        <n v="2560"/>
        <n v="3520"/>
        <n v="19200"/>
        <n v="1860"/>
        <n v="150"/>
        <n v="4797"/>
        <n v="11394"/>
        <n v="4800"/>
        <n v="17091"/>
        <n v="22500"/>
      </sharedItems>
    </cacheField>
  </cacheFields>
  <extLst>
    <ext xmlns:x14="http://schemas.microsoft.com/office/spreadsheetml/2009/9/main" uri="{725AE2AE-9491-48be-B2B4-4EB974FC3084}">
      <x14:pivotCacheDefinition pivotCacheId="1490377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TXN5002"/>
    <x v="0"/>
    <x v="0"/>
    <x v="0"/>
    <s v="Ceramic Mug Set"/>
    <n v="9"/>
    <n v="350"/>
    <x v="0"/>
  </r>
  <r>
    <s v="TXN5001"/>
    <x v="0"/>
    <x v="1"/>
    <x v="0"/>
    <s v="Ceramic Mug Set"/>
    <n v="8"/>
    <n v="350"/>
    <x v="1"/>
  </r>
  <r>
    <s v="TXN5000"/>
    <x v="0"/>
    <x v="2"/>
    <x v="1"/>
    <s v="Study Table Lamp"/>
    <n v="11"/>
    <n v="1800"/>
    <x v="2"/>
  </r>
  <r>
    <s v="TXN5003"/>
    <x v="0"/>
    <x v="2"/>
    <x v="2"/>
    <s v="Wireless Mouse Pro"/>
    <n v="1"/>
    <n v="1200"/>
    <x v="3"/>
  </r>
  <r>
    <s v="TXN5005"/>
    <x v="1"/>
    <x v="0"/>
    <x v="3"/>
    <s v="Notebook Set"/>
    <n v="4"/>
    <n v="150"/>
    <x v="4"/>
  </r>
  <r>
    <s v="TXN5006"/>
    <x v="1"/>
    <x v="3"/>
    <x v="2"/>
    <s v="Bluetooth Headphones"/>
    <n v="12"/>
    <n v="899"/>
    <x v="5"/>
  </r>
  <r>
    <s v="TXN5007"/>
    <x v="1"/>
    <x v="0"/>
    <x v="4"/>
    <s v="Denim Jacket"/>
    <n v="8"/>
    <n v="1899"/>
    <x v="6"/>
  </r>
  <r>
    <s v="TXN5004"/>
    <x v="1"/>
    <x v="2"/>
    <x v="4"/>
    <s v="Cotton T-Shirt"/>
    <n v="3"/>
    <n v="450"/>
    <x v="7"/>
  </r>
  <r>
    <s v="TXN5014"/>
    <x v="2"/>
    <x v="1"/>
    <x v="0"/>
    <s v="Ceramic Mug Set"/>
    <n v="2"/>
    <n v="350"/>
    <x v="8"/>
  </r>
  <r>
    <s v="TXN5010"/>
    <x v="2"/>
    <x v="1"/>
    <x v="1"/>
    <s v="Office Chair"/>
    <n v="2"/>
    <n v="2500"/>
    <x v="9"/>
  </r>
  <r>
    <s v="TXN5012"/>
    <x v="2"/>
    <x v="2"/>
    <x v="1"/>
    <s v="Study Table Lamp"/>
    <n v="7"/>
    <n v="1800"/>
    <x v="10"/>
  </r>
  <r>
    <s v="TXN5013"/>
    <x v="2"/>
    <x v="2"/>
    <x v="2"/>
    <s v="Wireless Mouse Pro"/>
    <n v="11"/>
    <n v="1200"/>
    <x v="11"/>
  </r>
  <r>
    <s v="TXN5017"/>
    <x v="3"/>
    <x v="2"/>
    <x v="0"/>
    <s v="Non-Stick Pan"/>
    <n v="4"/>
    <n v="899"/>
    <x v="12"/>
  </r>
  <r>
    <s v="TXN5016"/>
    <x v="3"/>
    <x v="3"/>
    <x v="2"/>
    <s v="Wireless Mouse Pro"/>
    <n v="9"/>
    <n v="1200"/>
    <x v="13"/>
  </r>
  <r>
    <s v="TXN5015"/>
    <x v="3"/>
    <x v="1"/>
    <x v="1"/>
    <s v="Bookshelf"/>
    <n v="10"/>
    <n v="3400"/>
    <x v="14"/>
  </r>
  <r>
    <s v="TXN5018"/>
    <x v="3"/>
    <x v="1"/>
    <x v="2"/>
    <s v="Portable Speaker"/>
    <n v="7"/>
    <n v="1599"/>
    <x v="15"/>
  </r>
  <r>
    <s v="TXN5019"/>
    <x v="4"/>
    <x v="1"/>
    <x v="0"/>
    <s v="Air Fryer XL"/>
    <n v="7"/>
    <n v="3200"/>
    <x v="16"/>
  </r>
  <r>
    <s v="TXN5022"/>
    <x v="4"/>
    <x v="3"/>
    <x v="1"/>
    <s v="Study Table Lamp"/>
    <n v="1"/>
    <n v="1800"/>
    <x v="17"/>
  </r>
  <r>
    <s v="TXN5021"/>
    <x v="4"/>
    <x v="1"/>
    <x v="3"/>
    <s v="Notebook Set"/>
    <n v="3"/>
    <n v="150"/>
    <x v="18"/>
  </r>
  <r>
    <s v="TXN5023"/>
    <x v="4"/>
    <x v="2"/>
    <x v="2"/>
    <s v="Portable Speaker"/>
    <n v="10"/>
    <n v="1599"/>
    <x v="19"/>
  </r>
  <r>
    <s v="TXN5025"/>
    <x v="5"/>
    <x v="1"/>
    <x v="0"/>
    <s v="Air Fryer XL"/>
    <n v="2"/>
    <n v="3200"/>
    <x v="20"/>
  </r>
  <r>
    <s v="TXN5024"/>
    <x v="5"/>
    <x v="2"/>
    <x v="2"/>
    <s v="Portable Speaker"/>
    <n v="10"/>
    <n v="1599"/>
    <x v="19"/>
  </r>
  <r>
    <s v="TXN5026"/>
    <x v="5"/>
    <x v="1"/>
    <x v="1"/>
    <s v="Office Chair"/>
    <n v="11"/>
    <n v="2500"/>
    <x v="21"/>
  </r>
  <r>
    <s v="TXN5027"/>
    <x v="5"/>
    <x v="1"/>
    <x v="3"/>
    <s v="Gel Pen Pack"/>
    <n v="6"/>
    <n v="90"/>
    <x v="22"/>
  </r>
  <r>
    <s v="TXN5028"/>
    <x v="5"/>
    <x v="0"/>
    <x v="0"/>
    <s v="Non-Stick Pan"/>
    <n v="4"/>
    <n v="899"/>
    <x v="12"/>
  </r>
  <r>
    <s v="TXN5029"/>
    <x v="5"/>
    <x v="1"/>
    <x v="2"/>
    <s v="Wireless Mouse Pro"/>
    <n v="3"/>
    <n v="1200"/>
    <x v="23"/>
  </r>
  <r>
    <s v="TXN5030"/>
    <x v="6"/>
    <x v="1"/>
    <x v="2"/>
    <s v="Portable Speaker"/>
    <n v="1"/>
    <n v="1599"/>
    <x v="24"/>
  </r>
  <r>
    <s v="TXN5033"/>
    <x v="6"/>
    <x v="1"/>
    <x v="4"/>
    <s v="Running Shoes"/>
    <n v="9"/>
    <n v="620"/>
    <x v="25"/>
  </r>
  <r>
    <s v="TXN5032"/>
    <x v="6"/>
    <x v="2"/>
    <x v="2"/>
    <s v="Portable Speaker"/>
    <n v="10"/>
    <n v="1599"/>
    <x v="19"/>
  </r>
  <r>
    <s v="TXN5034"/>
    <x v="6"/>
    <x v="2"/>
    <x v="1"/>
    <s v="Office Chair"/>
    <n v="4"/>
    <n v="2500"/>
    <x v="26"/>
  </r>
  <r>
    <s v="TXN5031"/>
    <x v="6"/>
    <x v="3"/>
    <x v="0"/>
    <s v="Air Fryer XL"/>
    <n v="4"/>
    <n v="3200"/>
    <x v="27"/>
  </r>
  <r>
    <s v="TXN5035"/>
    <x v="6"/>
    <x v="1"/>
    <x v="0"/>
    <s v="Ceramic Mug Set"/>
    <n v="8"/>
    <n v="350"/>
    <x v="1"/>
  </r>
  <r>
    <s v="TXN5039"/>
    <x v="7"/>
    <x v="1"/>
    <x v="2"/>
    <s v="Bluetooth Headphones"/>
    <n v="2"/>
    <n v="899"/>
    <x v="28"/>
  </r>
  <r>
    <s v="TXN5040"/>
    <x v="7"/>
    <x v="0"/>
    <x v="4"/>
    <s v="Denim Jacket"/>
    <n v="3"/>
    <n v="1899"/>
    <x v="29"/>
  </r>
  <r>
    <s v="TXN5037"/>
    <x v="7"/>
    <x v="0"/>
    <x v="4"/>
    <s v="Cotton T-Shirt"/>
    <n v="5"/>
    <n v="450"/>
    <x v="30"/>
  </r>
  <r>
    <s v="TXN5036"/>
    <x v="7"/>
    <x v="0"/>
    <x v="1"/>
    <s v="Study Table Lamp"/>
    <n v="1"/>
    <n v="1800"/>
    <x v="17"/>
  </r>
  <r>
    <s v="TXN5038"/>
    <x v="7"/>
    <x v="3"/>
    <x v="4"/>
    <s v="Cotton T-Shirt"/>
    <n v="7"/>
    <n v="450"/>
    <x v="0"/>
  </r>
  <r>
    <s v="TXN5041"/>
    <x v="7"/>
    <x v="1"/>
    <x v="1"/>
    <s v="Bookshelf"/>
    <n v="8"/>
    <n v="3400"/>
    <x v="31"/>
  </r>
  <r>
    <s v="TXN5043"/>
    <x v="8"/>
    <x v="3"/>
    <x v="0"/>
    <s v="Ceramic Mug Set"/>
    <n v="4"/>
    <n v="350"/>
    <x v="32"/>
  </r>
  <r>
    <s v="TXN5044"/>
    <x v="8"/>
    <x v="0"/>
    <x v="4"/>
    <s v="Cotton T-Shirt"/>
    <n v="6"/>
    <n v="450"/>
    <x v="33"/>
  </r>
  <r>
    <s v="TXN5045"/>
    <x v="8"/>
    <x v="2"/>
    <x v="3"/>
    <s v="Gel Pen Pack"/>
    <n v="8"/>
    <n v="90"/>
    <x v="34"/>
  </r>
  <r>
    <s v="TXN5042"/>
    <x v="8"/>
    <x v="1"/>
    <x v="2"/>
    <s v="Portable Speaker"/>
    <n v="9"/>
    <n v="1599"/>
    <x v="35"/>
  </r>
  <r>
    <s v="TXN5049"/>
    <x v="9"/>
    <x v="3"/>
    <x v="2"/>
    <s v="Portable Speaker"/>
    <n v="1"/>
    <n v="1599"/>
    <x v="24"/>
  </r>
  <r>
    <s v="TXN5048"/>
    <x v="9"/>
    <x v="0"/>
    <x v="1"/>
    <s v="Office Chair"/>
    <n v="7"/>
    <n v="2500"/>
    <x v="36"/>
  </r>
  <r>
    <s v="TXN5051"/>
    <x v="9"/>
    <x v="1"/>
    <x v="3"/>
    <s v="Desk Organizer"/>
    <n v="7"/>
    <n v="320"/>
    <x v="37"/>
  </r>
  <r>
    <s v="TXN5047"/>
    <x v="9"/>
    <x v="2"/>
    <x v="0"/>
    <s v="Non-Stick Pan"/>
    <n v="3"/>
    <n v="899"/>
    <x v="38"/>
  </r>
  <r>
    <s v="TXN5050"/>
    <x v="9"/>
    <x v="1"/>
    <x v="0"/>
    <s v="Non-Stick Pan"/>
    <n v="11"/>
    <n v="899"/>
    <x v="39"/>
  </r>
  <r>
    <s v="TXN5053"/>
    <x v="10"/>
    <x v="1"/>
    <x v="2"/>
    <s v="Bluetooth Headphones"/>
    <n v="2"/>
    <n v="899"/>
    <x v="28"/>
  </r>
  <r>
    <s v="TXN5057"/>
    <x v="10"/>
    <x v="2"/>
    <x v="4"/>
    <s v="Running Shoes"/>
    <n v="8"/>
    <n v="620"/>
    <x v="40"/>
  </r>
  <r>
    <s v="TXN5056"/>
    <x v="10"/>
    <x v="3"/>
    <x v="4"/>
    <s v="Cotton T-Shirt"/>
    <n v="5"/>
    <n v="450"/>
    <x v="30"/>
  </r>
  <r>
    <s v="TXN5052"/>
    <x v="10"/>
    <x v="3"/>
    <x v="4"/>
    <s v="Cotton T-Shirt"/>
    <n v="3"/>
    <n v="450"/>
    <x v="7"/>
  </r>
  <r>
    <s v="TXN5054"/>
    <x v="10"/>
    <x v="1"/>
    <x v="2"/>
    <s v="Portable Speaker"/>
    <n v="8"/>
    <n v="1599"/>
    <x v="41"/>
  </r>
  <r>
    <s v="TXN5055"/>
    <x v="10"/>
    <x v="0"/>
    <x v="2"/>
    <s v="Wireless Mouse Pro"/>
    <n v="2"/>
    <n v="1200"/>
    <x v="42"/>
  </r>
  <r>
    <s v="TXN5062"/>
    <x v="11"/>
    <x v="0"/>
    <x v="2"/>
    <s v="Bluetooth Headphones"/>
    <n v="8"/>
    <n v="899"/>
    <x v="43"/>
  </r>
  <r>
    <s v="TXN5061"/>
    <x v="11"/>
    <x v="3"/>
    <x v="0"/>
    <s v="Air Fryer XL"/>
    <n v="1"/>
    <n v="3200"/>
    <x v="44"/>
  </r>
  <r>
    <s v="TXN5060"/>
    <x v="11"/>
    <x v="3"/>
    <x v="0"/>
    <s v="Ceramic Mug Set"/>
    <n v="10"/>
    <n v="350"/>
    <x v="45"/>
  </r>
  <r>
    <s v="TXN5058"/>
    <x v="11"/>
    <x v="2"/>
    <x v="2"/>
    <s v="Wireless Mouse Pro"/>
    <n v="3"/>
    <n v="1200"/>
    <x v="23"/>
  </r>
  <r>
    <s v="TXN5059"/>
    <x v="11"/>
    <x v="0"/>
    <x v="4"/>
    <s v="Cotton T-Shirt"/>
    <n v="12"/>
    <n v="450"/>
    <x v="46"/>
  </r>
  <r>
    <s v="TXN5064"/>
    <x v="12"/>
    <x v="0"/>
    <x v="1"/>
    <s v="Office Chair"/>
    <n v="5"/>
    <n v="2500"/>
    <x v="47"/>
  </r>
  <r>
    <s v="TXN5068"/>
    <x v="12"/>
    <x v="0"/>
    <x v="0"/>
    <s v="Non-Stick Pan"/>
    <n v="10"/>
    <n v="899"/>
    <x v="48"/>
  </r>
  <r>
    <s v="TXN5066"/>
    <x v="12"/>
    <x v="1"/>
    <x v="2"/>
    <s v="Bluetooth Headphones"/>
    <n v="3"/>
    <n v="899"/>
    <x v="38"/>
  </r>
  <r>
    <s v="TXN5063"/>
    <x v="12"/>
    <x v="2"/>
    <x v="3"/>
    <s v="Desk Organizer"/>
    <n v="3"/>
    <n v="320"/>
    <x v="49"/>
  </r>
  <r>
    <s v="TXN5067"/>
    <x v="12"/>
    <x v="1"/>
    <x v="1"/>
    <s v="Study Table Lamp"/>
    <n v="9"/>
    <n v="1800"/>
    <x v="50"/>
  </r>
  <r>
    <s v="TXN5065"/>
    <x v="12"/>
    <x v="3"/>
    <x v="0"/>
    <s v="Non-Stick Pan"/>
    <n v="12"/>
    <n v="899"/>
    <x v="5"/>
  </r>
  <r>
    <s v="TXN5070"/>
    <x v="13"/>
    <x v="2"/>
    <x v="1"/>
    <s v="Study Table Lamp"/>
    <n v="9"/>
    <n v="1800"/>
    <x v="50"/>
  </r>
  <r>
    <s v="TXN5072"/>
    <x v="13"/>
    <x v="2"/>
    <x v="3"/>
    <s v="Desk Organizer"/>
    <n v="4"/>
    <n v="320"/>
    <x v="51"/>
  </r>
  <r>
    <s v="TXN5071"/>
    <x v="13"/>
    <x v="1"/>
    <x v="4"/>
    <s v="Denim Jacket"/>
    <n v="10"/>
    <n v="1899"/>
    <x v="52"/>
  </r>
  <r>
    <s v="TXN5069"/>
    <x v="13"/>
    <x v="2"/>
    <x v="0"/>
    <s v="Ceramic Mug Set"/>
    <n v="9"/>
    <n v="350"/>
    <x v="0"/>
  </r>
  <r>
    <s v="TXN5073"/>
    <x v="13"/>
    <x v="1"/>
    <x v="0"/>
    <s v="Non-Stick Pan"/>
    <n v="4"/>
    <n v="899"/>
    <x v="12"/>
  </r>
  <r>
    <s v="TXN5074"/>
    <x v="13"/>
    <x v="1"/>
    <x v="2"/>
    <s v="Bluetooth Headphones"/>
    <n v="11"/>
    <n v="899"/>
    <x v="39"/>
  </r>
  <r>
    <s v="TXN5076"/>
    <x v="14"/>
    <x v="1"/>
    <x v="1"/>
    <s v="Study Table Lamp"/>
    <n v="9"/>
    <n v="1800"/>
    <x v="50"/>
  </r>
  <r>
    <s v="TXN5081"/>
    <x v="14"/>
    <x v="2"/>
    <x v="2"/>
    <s v="Wireless Mouse Pro"/>
    <n v="5"/>
    <n v="1200"/>
    <x v="53"/>
  </r>
  <r>
    <s v="TXN5080"/>
    <x v="14"/>
    <x v="1"/>
    <x v="2"/>
    <s v="Wireless Mouse Pro"/>
    <n v="11"/>
    <n v="1200"/>
    <x v="11"/>
  </r>
  <r>
    <s v="TXN5077"/>
    <x v="14"/>
    <x v="2"/>
    <x v="2"/>
    <s v="Portable Speaker"/>
    <n v="11"/>
    <n v="1599"/>
    <x v="54"/>
  </r>
  <r>
    <s v="TXN5078"/>
    <x v="14"/>
    <x v="3"/>
    <x v="0"/>
    <s v="Non-Stick Pan"/>
    <n v="9"/>
    <n v="899"/>
    <x v="55"/>
  </r>
  <r>
    <s v="TXN5079"/>
    <x v="14"/>
    <x v="2"/>
    <x v="4"/>
    <s v="Running Shoes"/>
    <n v="2"/>
    <n v="620"/>
    <x v="56"/>
  </r>
  <r>
    <s v="TXN5075"/>
    <x v="14"/>
    <x v="1"/>
    <x v="3"/>
    <s v="Notebook Set"/>
    <n v="11"/>
    <n v="150"/>
    <x v="57"/>
  </r>
  <r>
    <s v="TXN5088"/>
    <x v="15"/>
    <x v="3"/>
    <x v="1"/>
    <s v="Bookshelf"/>
    <n v="11"/>
    <n v="3400"/>
    <x v="58"/>
  </r>
  <r>
    <s v="TXN5082"/>
    <x v="15"/>
    <x v="2"/>
    <x v="3"/>
    <s v="Gel Pen Pack"/>
    <n v="12"/>
    <n v="90"/>
    <x v="59"/>
  </r>
  <r>
    <s v="TXN5085"/>
    <x v="15"/>
    <x v="3"/>
    <x v="1"/>
    <s v="Office Chair"/>
    <n v="1"/>
    <n v="2500"/>
    <x v="60"/>
  </r>
  <r>
    <s v="TXN5089"/>
    <x v="15"/>
    <x v="3"/>
    <x v="3"/>
    <s v="Desk Organizer"/>
    <n v="12"/>
    <n v="320"/>
    <x v="61"/>
  </r>
  <r>
    <s v="TXN5086"/>
    <x v="15"/>
    <x v="2"/>
    <x v="2"/>
    <s v="Bluetooth Headphones"/>
    <n v="6"/>
    <n v="899"/>
    <x v="62"/>
  </r>
  <r>
    <s v="TXN5084"/>
    <x v="15"/>
    <x v="2"/>
    <x v="4"/>
    <s v="Running Shoes"/>
    <n v="4"/>
    <n v="620"/>
    <x v="63"/>
  </r>
  <r>
    <s v="TXN5083"/>
    <x v="15"/>
    <x v="2"/>
    <x v="0"/>
    <s v="Ceramic Mug Set"/>
    <n v="7"/>
    <n v="350"/>
    <x v="64"/>
  </r>
  <r>
    <s v="TXN5087"/>
    <x v="15"/>
    <x v="3"/>
    <x v="0"/>
    <s v="Ceramic Mug Set"/>
    <n v="8"/>
    <n v="350"/>
    <x v="1"/>
  </r>
  <r>
    <s v="TXN5091"/>
    <x v="16"/>
    <x v="2"/>
    <x v="4"/>
    <s v="Denim Jacket"/>
    <n v="7"/>
    <n v="1899"/>
    <x v="65"/>
  </r>
  <r>
    <s v="TXN5097"/>
    <x v="16"/>
    <x v="3"/>
    <x v="0"/>
    <s v="Ceramic Mug Set"/>
    <n v="3"/>
    <n v="350"/>
    <x v="66"/>
  </r>
  <r>
    <s v="TXN5092"/>
    <x v="16"/>
    <x v="0"/>
    <x v="0"/>
    <s v="Air Fryer XL"/>
    <n v="1"/>
    <n v="3200"/>
    <x v="44"/>
  </r>
  <r>
    <s v="TXN5096"/>
    <x v="16"/>
    <x v="1"/>
    <x v="0"/>
    <s v="Non-Stick Pan"/>
    <n v="12"/>
    <n v="899"/>
    <x v="5"/>
  </r>
  <r>
    <s v="TXN5090"/>
    <x v="16"/>
    <x v="1"/>
    <x v="2"/>
    <s v="Bluetooth Headphones"/>
    <n v="8"/>
    <n v="899"/>
    <x v="43"/>
  </r>
  <r>
    <s v="TXN5093"/>
    <x v="16"/>
    <x v="1"/>
    <x v="4"/>
    <s v="Cotton T-Shirt"/>
    <n v="5"/>
    <n v="450"/>
    <x v="30"/>
  </r>
  <r>
    <s v="TXN5095"/>
    <x v="16"/>
    <x v="2"/>
    <x v="2"/>
    <s v="Wireless Mouse Pro"/>
    <n v="9"/>
    <n v="1200"/>
    <x v="13"/>
  </r>
  <r>
    <s v="TXN5094"/>
    <x v="16"/>
    <x v="2"/>
    <x v="1"/>
    <s v="Office Chair"/>
    <n v="2"/>
    <n v="2500"/>
    <x v="9"/>
  </r>
  <r>
    <s v="TXN5102"/>
    <x v="17"/>
    <x v="3"/>
    <x v="0"/>
    <s v="Ceramic Mug Set"/>
    <n v="4"/>
    <n v="350"/>
    <x v="32"/>
  </r>
  <r>
    <s v="TXN5101"/>
    <x v="17"/>
    <x v="1"/>
    <x v="0"/>
    <s v="Non-Stick Pan"/>
    <n v="3"/>
    <n v="899"/>
    <x v="38"/>
  </r>
  <r>
    <s v="TXN5105"/>
    <x v="17"/>
    <x v="2"/>
    <x v="4"/>
    <s v="Running Shoes"/>
    <n v="10"/>
    <n v="620"/>
    <x v="67"/>
  </r>
  <r>
    <s v="TXN5104"/>
    <x v="17"/>
    <x v="2"/>
    <x v="2"/>
    <s v="Bluetooth Headphones"/>
    <n v="8"/>
    <n v="899"/>
    <x v="43"/>
  </r>
  <r>
    <s v="TXN5100"/>
    <x v="17"/>
    <x v="1"/>
    <x v="4"/>
    <s v="Cotton T-Shirt"/>
    <n v="1"/>
    <n v="450"/>
    <x v="18"/>
  </r>
  <r>
    <s v="TXN5098"/>
    <x v="17"/>
    <x v="2"/>
    <x v="2"/>
    <s v="Portable Speaker"/>
    <n v="6"/>
    <n v="1599"/>
    <x v="68"/>
  </r>
  <r>
    <s v="TXN5099"/>
    <x v="17"/>
    <x v="1"/>
    <x v="1"/>
    <s v="Bookshelf"/>
    <n v="11"/>
    <n v="3400"/>
    <x v="58"/>
  </r>
  <r>
    <s v="TXN5110"/>
    <x v="18"/>
    <x v="1"/>
    <x v="2"/>
    <s v="Portable Speaker"/>
    <n v="10"/>
    <n v="1599"/>
    <x v="19"/>
  </r>
  <r>
    <s v="TXN5107"/>
    <x v="18"/>
    <x v="2"/>
    <x v="0"/>
    <s v="Non-Stick Pan"/>
    <n v="2"/>
    <n v="899"/>
    <x v="28"/>
  </r>
  <r>
    <s v="TXN5109"/>
    <x v="18"/>
    <x v="0"/>
    <x v="1"/>
    <s v="Bookshelf"/>
    <n v="6"/>
    <n v="3400"/>
    <x v="69"/>
  </r>
  <r>
    <s v="TXN5112"/>
    <x v="18"/>
    <x v="3"/>
    <x v="0"/>
    <s v="Ceramic Mug Set"/>
    <n v="1"/>
    <n v="350"/>
    <x v="70"/>
  </r>
  <r>
    <s v="TXN5114"/>
    <x v="18"/>
    <x v="1"/>
    <x v="0"/>
    <s v="Non-Stick Pan"/>
    <n v="1"/>
    <n v="899"/>
    <x v="71"/>
  </r>
  <r>
    <s v="TXN5111"/>
    <x v="18"/>
    <x v="1"/>
    <x v="4"/>
    <s v="Denim Jacket"/>
    <n v="8"/>
    <n v="1899"/>
    <x v="6"/>
  </r>
  <r>
    <s v="TXN5108"/>
    <x v="18"/>
    <x v="1"/>
    <x v="2"/>
    <s v="Wireless Mouse Pro"/>
    <n v="6"/>
    <n v="1200"/>
    <x v="72"/>
  </r>
  <r>
    <s v="TXN5113"/>
    <x v="18"/>
    <x v="2"/>
    <x v="2"/>
    <s v="Wireless Mouse Pro"/>
    <n v="5"/>
    <n v="1200"/>
    <x v="53"/>
  </r>
  <r>
    <s v="TXN5118"/>
    <x v="19"/>
    <x v="1"/>
    <x v="2"/>
    <s v="Portable Speaker"/>
    <n v="10"/>
    <n v="1599"/>
    <x v="19"/>
  </r>
  <r>
    <s v="TXN5117"/>
    <x v="19"/>
    <x v="1"/>
    <x v="4"/>
    <s v="Running Shoes"/>
    <n v="9"/>
    <n v="620"/>
    <x v="25"/>
  </r>
  <r>
    <s v="TXN5116"/>
    <x v="19"/>
    <x v="2"/>
    <x v="3"/>
    <s v="Notebook Set"/>
    <n v="5"/>
    <n v="150"/>
    <x v="73"/>
  </r>
  <r>
    <s v="TXN5119"/>
    <x v="19"/>
    <x v="2"/>
    <x v="3"/>
    <s v="Notebook Set"/>
    <n v="11"/>
    <n v="150"/>
    <x v="57"/>
  </r>
  <r>
    <s v="TXN5122"/>
    <x v="19"/>
    <x v="1"/>
    <x v="2"/>
    <s v="Bluetooth Headphones"/>
    <n v="9"/>
    <n v="899"/>
    <x v="55"/>
  </r>
  <r>
    <s v="TXN5115"/>
    <x v="19"/>
    <x v="1"/>
    <x v="2"/>
    <s v="Portable Speaker"/>
    <n v="7"/>
    <n v="1599"/>
    <x v="15"/>
  </r>
  <r>
    <s v="TXN5121"/>
    <x v="19"/>
    <x v="0"/>
    <x v="1"/>
    <s v="Bookshelf"/>
    <n v="4"/>
    <n v="3400"/>
    <x v="74"/>
  </r>
  <r>
    <s v="TXN5120"/>
    <x v="19"/>
    <x v="2"/>
    <x v="2"/>
    <s v="Wireless Mouse Pro"/>
    <n v="7"/>
    <n v="1200"/>
    <x v="75"/>
  </r>
  <r>
    <s v="TXN5129"/>
    <x v="20"/>
    <x v="3"/>
    <x v="3"/>
    <s v="Notebook Set"/>
    <n v="6"/>
    <n v="150"/>
    <x v="76"/>
  </r>
  <r>
    <s v="TXN5130"/>
    <x v="20"/>
    <x v="1"/>
    <x v="4"/>
    <s v="Cotton T-Shirt"/>
    <n v="3"/>
    <n v="450"/>
    <x v="7"/>
  </r>
  <r>
    <s v="TXN5128"/>
    <x v="20"/>
    <x v="1"/>
    <x v="2"/>
    <s v="Portable Speaker"/>
    <n v="2"/>
    <n v="1599"/>
    <x v="77"/>
  </r>
  <r>
    <s v="TXN5126"/>
    <x v="20"/>
    <x v="1"/>
    <x v="4"/>
    <s v="Denim Jacket"/>
    <n v="11"/>
    <n v="1899"/>
    <x v="78"/>
  </r>
  <r>
    <s v="TXN5131"/>
    <x v="20"/>
    <x v="1"/>
    <x v="0"/>
    <s v="Non-Stick Pan"/>
    <n v="5"/>
    <n v="899"/>
    <x v="79"/>
  </r>
  <r>
    <s v="TXN5124"/>
    <x v="20"/>
    <x v="3"/>
    <x v="3"/>
    <s v="Desk Organizer"/>
    <n v="6"/>
    <n v="320"/>
    <x v="80"/>
  </r>
  <r>
    <s v="TXN5125"/>
    <x v="20"/>
    <x v="1"/>
    <x v="4"/>
    <s v="Cotton T-Shirt"/>
    <n v="6"/>
    <n v="450"/>
    <x v="33"/>
  </r>
  <r>
    <s v="TXN5138"/>
    <x v="21"/>
    <x v="1"/>
    <x v="0"/>
    <s v="Air Fryer XL"/>
    <n v="11"/>
    <n v="3200"/>
    <x v="81"/>
  </r>
  <r>
    <s v="TXN5136"/>
    <x v="21"/>
    <x v="2"/>
    <x v="2"/>
    <s v="Bluetooth Headphones"/>
    <n v="4"/>
    <n v="899"/>
    <x v="12"/>
  </r>
  <r>
    <s v="TXN5139"/>
    <x v="21"/>
    <x v="3"/>
    <x v="1"/>
    <s v="Office Chair"/>
    <n v="1"/>
    <n v="2500"/>
    <x v="60"/>
  </r>
  <r>
    <s v="TXN5133"/>
    <x v="21"/>
    <x v="1"/>
    <x v="2"/>
    <s v="Wireless Mouse Pro"/>
    <n v="6"/>
    <n v="1200"/>
    <x v="72"/>
  </r>
  <r>
    <s v="TXN5132"/>
    <x v="21"/>
    <x v="0"/>
    <x v="1"/>
    <s v="Study Table Lamp"/>
    <n v="3"/>
    <n v="1800"/>
    <x v="46"/>
  </r>
  <r>
    <s v="TXN5134"/>
    <x v="21"/>
    <x v="2"/>
    <x v="4"/>
    <s v="Running Shoes"/>
    <n v="4"/>
    <n v="620"/>
    <x v="63"/>
  </r>
  <r>
    <s v="TXN5140"/>
    <x v="21"/>
    <x v="3"/>
    <x v="4"/>
    <s v="Running Shoes"/>
    <n v="8"/>
    <n v="620"/>
    <x v="40"/>
  </r>
  <r>
    <s v="TXN5137"/>
    <x v="21"/>
    <x v="1"/>
    <x v="0"/>
    <s v="Ceramic Mug Set"/>
    <n v="12"/>
    <n v="350"/>
    <x v="82"/>
  </r>
  <r>
    <s v="TXN5135"/>
    <x v="21"/>
    <x v="3"/>
    <x v="2"/>
    <s v="Portable Speaker"/>
    <n v="9"/>
    <n v="1599"/>
    <x v="35"/>
  </r>
  <r>
    <s v="TXN5146"/>
    <x v="22"/>
    <x v="0"/>
    <x v="4"/>
    <s v="Cotton T-Shirt"/>
    <n v="6"/>
    <n v="450"/>
    <x v="33"/>
  </r>
  <r>
    <s v="TXN5141"/>
    <x v="22"/>
    <x v="0"/>
    <x v="3"/>
    <s v="Gel Pen Pack"/>
    <n v="1"/>
    <n v="90"/>
    <x v="83"/>
  </r>
  <r>
    <s v="TXN5144"/>
    <x v="22"/>
    <x v="2"/>
    <x v="0"/>
    <s v="Ceramic Mug Set"/>
    <n v="5"/>
    <n v="350"/>
    <x v="84"/>
  </r>
  <r>
    <s v="TXN5143"/>
    <x v="22"/>
    <x v="3"/>
    <x v="3"/>
    <s v="Desk Organizer"/>
    <n v="10"/>
    <n v="320"/>
    <x v="44"/>
  </r>
  <r>
    <s v="TXN5145"/>
    <x v="22"/>
    <x v="2"/>
    <x v="2"/>
    <s v="Bluetooth Headphones"/>
    <n v="12"/>
    <n v="899"/>
    <x v="5"/>
  </r>
  <r>
    <s v="TXN5142"/>
    <x v="22"/>
    <x v="1"/>
    <x v="1"/>
    <s v="Office Chair"/>
    <n v="4"/>
    <n v="2500"/>
    <x v="26"/>
  </r>
  <r>
    <s v="TXN5153"/>
    <x v="23"/>
    <x v="2"/>
    <x v="0"/>
    <s v="Ceramic Mug Set"/>
    <n v="6"/>
    <n v="350"/>
    <x v="85"/>
  </r>
  <r>
    <s v="TXN5154"/>
    <x v="23"/>
    <x v="2"/>
    <x v="1"/>
    <s v="Study Table Lamp"/>
    <n v="10"/>
    <n v="1800"/>
    <x v="86"/>
  </r>
  <r>
    <s v="TXN5151"/>
    <x v="23"/>
    <x v="2"/>
    <x v="4"/>
    <s v="Running Shoes"/>
    <n v="12"/>
    <n v="620"/>
    <x v="87"/>
  </r>
  <r>
    <s v="TXN5150"/>
    <x v="23"/>
    <x v="2"/>
    <x v="2"/>
    <s v="Wireless Mouse Pro"/>
    <n v="9"/>
    <n v="1200"/>
    <x v="13"/>
  </r>
  <r>
    <s v="TXN5152"/>
    <x v="23"/>
    <x v="0"/>
    <x v="4"/>
    <s v="Cotton T-Shirt"/>
    <n v="4"/>
    <n v="450"/>
    <x v="17"/>
  </r>
  <r>
    <s v="TXN5149"/>
    <x v="23"/>
    <x v="1"/>
    <x v="2"/>
    <s v="Portable Speaker"/>
    <n v="9"/>
    <n v="1599"/>
    <x v="35"/>
  </r>
  <r>
    <s v="TXN5157"/>
    <x v="24"/>
    <x v="1"/>
    <x v="2"/>
    <s v="Portable Speaker"/>
    <n v="9"/>
    <n v="1599"/>
    <x v="35"/>
  </r>
  <r>
    <s v="TXN5158"/>
    <x v="24"/>
    <x v="1"/>
    <x v="0"/>
    <s v="Non-Stick Pan"/>
    <n v="2"/>
    <n v="899"/>
    <x v="28"/>
  </r>
  <r>
    <s v="TXN5161"/>
    <x v="24"/>
    <x v="0"/>
    <x v="2"/>
    <s v="Portable Speaker"/>
    <n v="4"/>
    <n v="1599"/>
    <x v="88"/>
  </r>
  <r>
    <s v="TXN5155"/>
    <x v="24"/>
    <x v="1"/>
    <x v="4"/>
    <s v="Denim Jacket"/>
    <n v="1"/>
    <n v="1899"/>
    <x v="89"/>
  </r>
  <r>
    <s v="TXN5162"/>
    <x v="24"/>
    <x v="1"/>
    <x v="2"/>
    <s v="Bluetooth Headphones"/>
    <n v="7"/>
    <n v="899"/>
    <x v="90"/>
  </r>
  <r>
    <s v="TXN5156"/>
    <x v="24"/>
    <x v="3"/>
    <x v="1"/>
    <s v="Office Chair"/>
    <n v="12"/>
    <n v="2500"/>
    <x v="91"/>
  </r>
  <r>
    <s v="TXN5159"/>
    <x v="24"/>
    <x v="1"/>
    <x v="2"/>
    <s v="Portable Speaker"/>
    <n v="7"/>
    <n v="1599"/>
    <x v="15"/>
  </r>
  <r>
    <s v="TXN5160"/>
    <x v="24"/>
    <x v="2"/>
    <x v="1"/>
    <s v="Study Table Lamp"/>
    <n v="8"/>
    <n v="1800"/>
    <x v="92"/>
  </r>
  <r>
    <s v="TXN5166"/>
    <x v="25"/>
    <x v="2"/>
    <x v="3"/>
    <s v="Gel Pen Pack"/>
    <n v="12"/>
    <n v="90"/>
    <x v="59"/>
  </r>
  <r>
    <s v="TXN5168"/>
    <x v="25"/>
    <x v="2"/>
    <x v="2"/>
    <s v="Bluetooth Headphones"/>
    <n v="1"/>
    <n v="899"/>
    <x v="71"/>
  </r>
  <r>
    <s v="TXN5170"/>
    <x v="25"/>
    <x v="1"/>
    <x v="0"/>
    <s v="Non-Stick Pan"/>
    <n v="4"/>
    <n v="899"/>
    <x v="12"/>
  </r>
  <r>
    <s v="TXN5165"/>
    <x v="25"/>
    <x v="1"/>
    <x v="3"/>
    <s v="Gel Pen Pack"/>
    <n v="10"/>
    <n v="90"/>
    <x v="76"/>
  </r>
  <r>
    <s v="TXN5164"/>
    <x v="25"/>
    <x v="2"/>
    <x v="3"/>
    <s v="Gel Pen Pack"/>
    <n v="4"/>
    <n v="90"/>
    <x v="93"/>
  </r>
  <r>
    <s v="TXN5167"/>
    <x v="25"/>
    <x v="1"/>
    <x v="1"/>
    <s v="Office Chair"/>
    <n v="3"/>
    <n v="2500"/>
    <x v="94"/>
  </r>
  <r>
    <s v="TXN5169"/>
    <x v="25"/>
    <x v="1"/>
    <x v="3"/>
    <s v="Desk Organizer"/>
    <n v="10"/>
    <n v="320"/>
    <x v="44"/>
  </r>
  <r>
    <s v="TXN5172"/>
    <x v="26"/>
    <x v="0"/>
    <x v="3"/>
    <s v="Gel Pen Pack"/>
    <n v="11"/>
    <n v="90"/>
    <x v="95"/>
  </r>
  <r>
    <s v="TXN5179"/>
    <x v="26"/>
    <x v="0"/>
    <x v="2"/>
    <s v="Wireless Mouse Pro"/>
    <n v="10"/>
    <n v="1200"/>
    <x v="96"/>
  </r>
  <r>
    <s v="TXN5178"/>
    <x v="26"/>
    <x v="3"/>
    <x v="4"/>
    <s v="Denim Jacket"/>
    <n v="8"/>
    <n v="1899"/>
    <x v="6"/>
  </r>
  <r>
    <s v="TXN5176"/>
    <x v="26"/>
    <x v="2"/>
    <x v="1"/>
    <s v="Bookshelf"/>
    <n v="2"/>
    <n v="3400"/>
    <x v="97"/>
  </r>
  <r>
    <s v="TXN5171"/>
    <x v="26"/>
    <x v="1"/>
    <x v="3"/>
    <s v="Desk Organizer"/>
    <n v="9"/>
    <n v="320"/>
    <x v="98"/>
  </r>
  <r>
    <s v="TXN5174"/>
    <x v="26"/>
    <x v="2"/>
    <x v="4"/>
    <s v="Running Shoes"/>
    <n v="6"/>
    <n v="620"/>
    <x v="99"/>
  </r>
  <r>
    <s v="TXN5173"/>
    <x v="26"/>
    <x v="1"/>
    <x v="2"/>
    <s v="Bluetooth Headphones"/>
    <n v="3"/>
    <n v="899"/>
    <x v="38"/>
  </r>
  <r>
    <s v="TXN5175"/>
    <x v="26"/>
    <x v="2"/>
    <x v="0"/>
    <s v="Air Fryer XL"/>
    <n v="8"/>
    <n v="3200"/>
    <x v="100"/>
  </r>
  <r>
    <s v="TXN5177"/>
    <x v="26"/>
    <x v="0"/>
    <x v="4"/>
    <s v="Cotton T-Shirt"/>
    <n v="6"/>
    <n v="450"/>
    <x v="33"/>
  </r>
  <r>
    <s v="TXN5180"/>
    <x v="27"/>
    <x v="0"/>
    <x v="2"/>
    <s v="Portable Speaker"/>
    <n v="5"/>
    <n v="1599"/>
    <x v="101"/>
  </r>
  <r>
    <s v="TXN5186"/>
    <x v="27"/>
    <x v="1"/>
    <x v="2"/>
    <s v="Portable Speaker"/>
    <n v="6"/>
    <n v="1599"/>
    <x v="68"/>
  </r>
  <r>
    <s v="TXN5183"/>
    <x v="27"/>
    <x v="3"/>
    <x v="0"/>
    <s v="Non-Stick Pan"/>
    <n v="11"/>
    <n v="899"/>
    <x v="39"/>
  </r>
  <r>
    <s v="TXN5188"/>
    <x v="27"/>
    <x v="1"/>
    <x v="3"/>
    <s v="Notebook Set"/>
    <n v="5"/>
    <n v="150"/>
    <x v="73"/>
  </r>
  <r>
    <s v="TXN5182"/>
    <x v="27"/>
    <x v="0"/>
    <x v="3"/>
    <s v="Gel Pen Pack"/>
    <n v="2"/>
    <n v="90"/>
    <x v="102"/>
  </r>
  <r>
    <s v="TXN5181"/>
    <x v="27"/>
    <x v="1"/>
    <x v="1"/>
    <s v="Office Chair"/>
    <n v="3"/>
    <n v="2500"/>
    <x v="94"/>
  </r>
  <r>
    <s v="TXN5187"/>
    <x v="27"/>
    <x v="3"/>
    <x v="0"/>
    <s v="Non-Stick Pan"/>
    <n v="1"/>
    <n v="899"/>
    <x v="71"/>
  </r>
  <r>
    <s v="TXN5185"/>
    <x v="27"/>
    <x v="2"/>
    <x v="3"/>
    <s v="Desk Organizer"/>
    <n v="8"/>
    <n v="320"/>
    <x v="103"/>
  </r>
  <r>
    <s v="TXN5184"/>
    <x v="27"/>
    <x v="1"/>
    <x v="0"/>
    <s v="Ceramic Mug Set"/>
    <n v="3"/>
    <n v="350"/>
    <x v="66"/>
  </r>
  <r>
    <s v="TXN5191"/>
    <x v="28"/>
    <x v="2"/>
    <x v="2"/>
    <s v="Portable Speaker"/>
    <n v="4"/>
    <n v="1599"/>
    <x v="88"/>
  </r>
  <r>
    <s v="TXN5192"/>
    <x v="28"/>
    <x v="2"/>
    <x v="1"/>
    <s v="Study Table Lamp"/>
    <n v="8"/>
    <n v="1800"/>
    <x v="92"/>
  </r>
  <r>
    <s v="TXN5194"/>
    <x v="28"/>
    <x v="2"/>
    <x v="1"/>
    <s v="Office Chair"/>
    <n v="11"/>
    <n v="2500"/>
    <x v="21"/>
  </r>
  <r>
    <s v="TXN5196"/>
    <x v="28"/>
    <x v="0"/>
    <x v="0"/>
    <s v="Air Fryer XL"/>
    <n v="11"/>
    <n v="3200"/>
    <x v="81"/>
  </r>
  <r>
    <s v="TXN5190"/>
    <x v="28"/>
    <x v="1"/>
    <x v="3"/>
    <s v="Desk Organizer"/>
    <n v="11"/>
    <n v="320"/>
    <x v="104"/>
  </r>
  <r>
    <s v="TXN5193"/>
    <x v="28"/>
    <x v="2"/>
    <x v="0"/>
    <s v="Air Fryer XL"/>
    <n v="6"/>
    <n v="3200"/>
    <x v="105"/>
  </r>
  <r>
    <s v="TXN5189"/>
    <x v="28"/>
    <x v="1"/>
    <x v="1"/>
    <s v="Study Table Lamp"/>
    <n v="1"/>
    <n v="1800"/>
    <x v="17"/>
  </r>
  <r>
    <s v="TXN5195"/>
    <x v="28"/>
    <x v="1"/>
    <x v="2"/>
    <s v="Bluetooth Headphones"/>
    <n v="7"/>
    <n v="899"/>
    <x v="90"/>
  </r>
  <r>
    <s v="TXN5204"/>
    <x v="29"/>
    <x v="1"/>
    <x v="0"/>
    <s v="Ceramic Mug Set"/>
    <n v="4"/>
    <n v="350"/>
    <x v="32"/>
  </r>
  <r>
    <s v="TXN5201"/>
    <x v="29"/>
    <x v="1"/>
    <x v="4"/>
    <s v="Running Shoes"/>
    <n v="3"/>
    <n v="620"/>
    <x v="106"/>
  </r>
  <r>
    <s v="TXN5202"/>
    <x v="29"/>
    <x v="1"/>
    <x v="2"/>
    <s v="Bluetooth Headphones"/>
    <n v="6"/>
    <n v="899"/>
    <x v="62"/>
  </r>
  <r>
    <s v="TXN5198"/>
    <x v="29"/>
    <x v="2"/>
    <x v="3"/>
    <s v="Notebook Set"/>
    <n v="1"/>
    <n v="150"/>
    <x v="107"/>
  </r>
  <r>
    <s v="TXN5205"/>
    <x v="29"/>
    <x v="1"/>
    <x v="2"/>
    <s v="Portable Speaker"/>
    <n v="3"/>
    <n v="1599"/>
    <x v="108"/>
  </r>
  <r>
    <s v="TXN5203"/>
    <x v="29"/>
    <x v="3"/>
    <x v="4"/>
    <s v="Running Shoes"/>
    <n v="4"/>
    <n v="620"/>
    <x v="63"/>
  </r>
  <r>
    <s v="TXN5199"/>
    <x v="29"/>
    <x v="0"/>
    <x v="1"/>
    <s v="Study Table Lamp"/>
    <n v="4"/>
    <n v="1800"/>
    <x v="72"/>
  </r>
  <r>
    <s v="TXN5213"/>
    <x v="30"/>
    <x v="3"/>
    <x v="1"/>
    <s v="Office Chair"/>
    <n v="7"/>
    <n v="2500"/>
    <x v="36"/>
  </r>
  <r>
    <s v="TXN5207"/>
    <x v="30"/>
    <x v="2"/>
    <x v="1"/>
    <s v="Office Chair"/>
    <n v="11"/>
    <n v="2500"/>
    <x v="21"/>
  </r>
  <r>
    <s v="TXN5214"/>
    <x v="30"/>
    <x v="1"/>
    <x v="4"/>
    <s v="Denim Jacket"/>
    <n v="6"/>
    <n v="1899"/>
    <x v="109"/>
  </r>
  <r>
    <s v="TXN5210"/>
    <x v="30"/>
    <x v="1"/>
    <x v="2"/>
    <s v="Wireless Mouse Pro"/>
    <n v="4"/>
    <n v="1200"/>
    <x v="110"/>
  </r>
  <r>
    <s v="TXN5208"/>
    <x v="30"/>
    <x v="2"/>
    <x v="2"/>
    <s v="Wireless Mouse Pro"/>
    <n v="4"/>
    <n v="1200"/>
    <x v="110"/>
  </r>
  <r>
    <s v="TXN5211"/>
    <x v="30"/>
    <x v="2"/>
    <x v="0"/>
    <s v="Ceramic Mug Set"/>
    <n v="4"/>
    <n v="350"/>
    <x v="32"/>
  </r>
  <r>
    <s v="TXN5212"/>
    <x v="30"/>
    <x v="1"/>
    <x v="4"/>
    <s v="Denim Jacket"/>
    <n v="9"/>
    <n v="1899"/>
    <x v="111"/>
  </r>
  <r>
    <s v="TXN5209"/>
    <x v="30"/>
    <x v="3"/>
    <x v="1"/>
    <s v="Office Chair"/>
    <n v="9"/>
    <n v="2500"/>
    <x v="1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F67251-7D27-4E88-A27F-0F143214FDC7}"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G9" firstHeaderRow="1" firstDataRow="2" firstDataCol="1"/>
  <pivotFields count="8">
    <pivotField showAll="0"/>
    <pivotField numFmtId="164" showAll="0"/>
    <pivotField axis="axisRow" showAll="0">
      <items count="5">
        <item x="3"/>
        <item x="1"/>
        <item x="2"/>
        <item x="0"/>
        <item t="default"/>
      </items>
    </pivotField>
    <pivotField axis="axisCol" showAll="0">
      <items count="6">
        <item x="4"/>
        <item x="2"/>
        <item x="1"/>
        <item x="0"/>
        <item x="3"/>
        <item t="default"/>
      </items>
    </pivotField>
    <pivotField showAll="0"/>
    <pivotField showAll="0"/>
    <pivotField numFmtId="3" showAll="0"/>
    <pivotField dataField="1" numFmtId="3" showAll="0"/>
  </pivotFields>
  <rowFields count="1">
    <field x="2"/>
  </rowFields>
  <rowItems count="5">
    <i>
      <x/>
    </i>
    <i>
      <x v="1"/>
    </i>
    <i>
      <x v="2"/>
    </i>
    <i>
      <x v="3"/>
    </i>
    <i t="grand">
      <x/>
    </i>
  </rowItems>
  <colFields count="1">
    <field x="3"/>
  </colFields>
  <colItems count="6">
    <i>
      <x/>
    </i>
    <i>
      <x v="1"/>
    </i>
    <i>
      <x v="2"/>
    </i>
    <i>
      <x v="3"/>
    </i>
    <i>
      <x v="4"/>
    </i>
    <i t="grand">
      <x/>
    </i>
  </colItems>
  <dataFields count="1">
    <dataField name="Count of Total Sales" fld="7" subtotal="count" baseField="0" baseItem="0"/>
  </dataFields>
  <chartFormats count="5">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73406D-FFAF-4CB3-A68E-054885ED9D3C}"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8">
    <pivotField showAll="0"/>
    <pivotField numFmtId="164" showAll="0"/>
    <pivotField axis="axisRow" showAll="0">
      <items count="5">
        <item x="3"/>
        <item x="1"/>
        <item x="2"/>
        <item x="0"/>
        <item t="default"/>
      </items>
    </pivotField>
    <pivotField showAll="0">
      <items count="6">
        <item x="4"/>
        <item x="2"/>
        <item x="1"/>
        <item x="0"/>
        <item x="3"/>
        <item t="default"/>
      </items>
    </pivotField>
    <pivotField showAll="0"/>
    <pivotField showAll="0"/>
    <pivotField numFmtId="3" showAll="0"/>
    <pivotField dataField="1" numFmtId="3" showAll="0"/>
  </pivotFields>
  <rowFields count="1">
    <field x="2"/>
  </rowFields>
  <rowItems count="5">
    <i>
      <x/>
    </i>
    <i>
      <x v="1"/>
    </i>
    <i>
      <x v="2"/>
    </i>
    <i>
      <x v="3"/>
    </i>
    <i t="grand">
      <x/>
    </i>
  </rowItems>
  <colItems count="1">
    <i/>
  </colItems>
  <dataFields count="1">
    <dataField name="Sum of Total Sales" fld="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5D1FCC-AD0F-469F-821F-7768FD00D30A}"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33" firstHeaderRow="1" firstDataRow="1" firstDataCol="1"/>
  <pivotFields count="8">
    <pivotField showAll="0"/>
    <pivotField axis="axisRow" numFmtId="16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showAll="0"/>
    <pivotField showAll="0"/>
    <pivotField numFmtId="3" showAll="0"/>
    <pivotField dataField="1" numFmtId="3"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Total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D41E9B-87DA-4FAF-8ADD-7F3185F27A6F}"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7" firstHeaderRow="1" firstDataRow="1" firstDataCol="1"/>
  <pivotFields count="8">
    <pivotField showAll="0"/>
    <pivotField numFmtId="164" showAll="0"/>
    <pivotField showAll="0"/>
    <pivotField axis="axisRow" showAll="0">
      <items count="6">
        <item x="4"/>
        <item x="2"/>
        <item x="1"/>
        <item x="0"/>
        <item x="3"/>
        <item t="default"/>
      </items>
    </pivotField>
    <pivotField showAll="0"/>
    <pivotField showAll="0"/>
    <pivotField numFmtId="3" showAll="0"/>
    <pivotField dataField="1" numFmtId="3" showAll="0"/>
  </pivotFields>
  <rowFields count="1">
    <field x="3"/>
  </rowFields>
  <rowItems count="6">
    <i>
      <x/>
    </i>
    <i>
      <x v="1"/>
    </i>
    <i>
      <x v="2"/>
    </i>
    <i>
      <x v="3"/>
    </i>
    <i>
      <x v="4"/>
    </i>
    <i t="grand">
      <x/>
    </i>
  </rowItems>
  <colItems count="1">
    <i/>
  </colItems>
  <dataFields count="1">
    <dataField name="Sum of Total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020A65-C421-411A-A1A4-630D91C95D2C}" sourceName="Region">
  <pivotTables>
    <pivotTable tabId="3" name="PivotTable1"/>
  </pivotTables>
  <data>
    <tabular pivotCacheId="1490377869">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B1BA14B-FC93-4A1C-ABD0-66BE39624A20}" cache="Slicer_Region" caption="Region" columnCount="4"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2"/>
  <sheetViews>
    <sheetView showGridLines="0" tabSelected="1" topLeftCell="A22" zoomScaleNormal="100" workbookViewId="0">
      <selection activeCell="C24" sqref="C24"/>
    </sheetView>
  </sheetViews>
  <sheetFormatPr defaultColWidth="8.5703125" defaultRowHeight="15" x14ac:dyDescent="0.25"/>
  <cols>
    <col min="1" max="1" width="3" customWidth="1"/>
    <col min="2" max="2" width="46" customWidth="1"/>
    <col min="3" max="3" width="82" customWidth="1"/>
  </cols>
  <sheetData>
    <row r="2" spans="2:3" ht="20.25" x14ac:dyDescent="0.3">
      <c r="B2" s="1" t="s">
        <v>0</v>
      </c>
    </row>
    <row r="3" spans="2:3" x14ac:dyDescent="0.25">
      <c r="B3" s="2" t="s">
        <v>1</v>
      </c>
    </row>
    <row r="5" spans="2:3" ht="27.75" customHeight="1" x14ac:dyDescent="0.25">
      <c r="B5" s="3" t="s">
        <v>2</v>
      </c>
      <c r="C5" s="4" t="s">
        <v>3</v>
      </c>
    </row>
    <row r="6" spans="2:3" ht="27.75" customHeight="1" x14ac:dyDescent="0.25">
      <c r="B6" s="3" t="s">
        <v>4</v>
      </c>
      <c r="C6" s="4" t="s">
        <v>5</v>
      </c>
    </row>
    <row r="7" spans="2:3" ht="15.75" customHeight="1" x14ac:dyDescent="0.25">
      <c r="B7" s="3"/>
      <c r="C7" s="4"/>
    </row>
    <row r="8" spans="2:3" ht="15.75" customHeight="1" x14ac:dyDescent="0.25">
      <c r="B8" s="5" t="s">
        <v>6</v>
      </c>
      <c r="C8" s="4"/>
    </row>
    <row r="9" spans="2:3" ht="27.75" customHeight="1" x14ac:dyDescent="0.25">
      <c r="B9" s="3"/>
      <c r="C9" s="4" t="s">
        <v>7</v>
      </c>
    </row>
    <row r="10" spans="2:3" ht="27.75" customHeight="1" x14ac:dyDescent="0.25">
      <c r="B10" s="3"/>
      <c r="C10" s="4" t="s">
        <v>8</v>
      </c>
    </row>
    <row r="11" spans="2:3" ht="27.75" customHeight="1" x14ac:dyDescent="0.25">
      <c r="B11" s="3"/>
      <c r="C11" s="4" t="s">
        <v>9</v>
      </c>
    </row>
    <row r="12" spans="2:3" ht="27.75" customHeight="1" x14ac:dyDescent="0.25">
      <c r="B12" s="3"/>
      <c r="C12" s="4" t="s">
        <v>10</v>
      </c>
    </row>
    <row r="13" spans="2:3" ht="15.75" customHeight="1" x14ac:dyDescent="0.25">
      <c r="B13" s="3"/>
      <c r="C13" s="4"/>
    </row>
    <row r="14" spans="2:3" ht="15.75" customHeight="1" x14ac:dyDescent="0.25">
      <c r="B14" s="5" t="s">
        <v>11</v>
      </c>
      <c r="C14" s="4"/>
    </row>
    <row r="15" spans="2:3" ht="27.75" customHeight="1" x14ac:dyDescent="0.25">
      <c r="B15" s="3"/>
      <c r="C15" s="4" t="s">
        <v>12</v>
      </c>
    </row>
    <row r="16" spans="2:3" ht="27.75" customHeight="1" x14ac:dyDescent="0.25">
      <c r="B16" s="3"/>
      <c r="C16" s="4" t="s">
        <v>13</v>
      </c>
    </row>
    <row r="17" spans="2:3" ht="15.75" customHeight="1" x14ac:dyDescent="0.25">
      <c r="B17" s="3"/>
      <c r="C17" s="4"/>
    </row>
    <row r="18" spans="2:3" ht="15.75" customHeight="1" x14ac:dyDescent="0.25">
      <c r="B18" s="5" t="s">
        <v>14</v>
      </c>
      <c r="C18" s="4"/>
    </row>
    <row r="19" spans="2:3" ht="27.75" customHeight="1" x14ac:dyDescent="0.25">
      <c r="B19" s="3"/>
      <c r="C19" s="4" t="s">
        <v>15</v>
      </c>
    </row>
    <row r="20" spans="2:3" ht="27.75" customHeight="1" x14ac:dyDescent="0.25">
      <c r="B20" s="3"/>
      <c r="C20" s="4" t="s">
        <v>16</v>
      </c>
    </row>
    <row r="21" spans="2:3" ht="15.75" customHeight="1" x14ac:dyDescent="0.25">
      <c r="B21" s="3"/>
      <c r="C21" s="4"/>
    </row>
    <row r="22" spans="2:3" ht="15.75" customHeight="1" x14ac:dyDescent="0.25">
      <c r="B22" s="5" t="s">
        <v>17</v>
      </c>
      <c r="C22" s="4"/>
    </row>
    <row r="23" spans="2:3" ht="27.75" customHeight="1" x14ac:dyDescent="0.25">
      <c r="B23" s="3"/>
      <c r="C23" s="4" t="s">
        <v>18</v>
      </c>
    </row>
    <row r="24" spans="2:3" ht="27.75" customHeight="1" x14ac:dyDescent="0.25">
      <c r="B24" s="3"/>
      <c r="C24" s="4" t="s">
        <v>19</v>
      </c>
    </row>
    <row r="25" spans="2:3" ht="27.75" customHeight="1" x14ac:dyDescent="0.25">
      <c r="B25" s="3"/>
      <c r="C25" s="4" t="s">
        <v>20</v>
      </c>
    </row>
    <row r="26" spans="2:3" ht="15.75" customHeight="1" x14ac:dyDescent="0.25">
      <c r="B26" s="3"/>
      <c r="C26" s="4"/>
    </row>
    <row r="27" spans="2:3" ht="15.75" customHeight="1" x14ac:dyDescent="0.25">
      <c r="B27" s="5" t="s">
        <v>21</v>
      </c>
      <c r="C27" s="4"/>
    </row>
    <row r="28" spans="2:3" ht="27.75" customHeight="1" x14ac:dyDescent="0.25">
      <c r="B28" s="3"/>
      <c r="C28" s="4" t="s">
        <v>22</v>
      </c>
    </row>
    <row r="29" spans="2:3" ht="27.75" customHeight="1" x14ac:dyDescent="0.25">
      <c r="B29" s="3"/>
      <c r="C29" s="4" t="s">
        <v>23</v>
      </c>
    </row>
    <row r="30" spans="2:3" ht="27.75" customHeight="1" x14ac:dyDescent="0.25">
      <c r="B30" s="3"/>
      <c r="C30" s="4" t="s">
        <v>24</v>
      </c>
    </row>
    <row r="31" spans="2:3" ht="27.75" customHeight="1" x14ac:dyDescent="0.25">
      <c r="B31" s="3"/>
      <c r="C31" s="4" t="s">
        <v>25</v>
      </c>
    </row>
    <row r="32" spans="2:3" ht="27.75" customHeight="1" x14ac:dyDescent="0.25">
      <c r="B32" s="3"/>
      <c r="C32" s="4" t="s">
        <v>26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3ADEC-541A-4565-A917-196BB30C2AC4}">
  <dimension ref="A3:G9"/>
  <sheetViews>
    <sheetView workbookViewId="0">
      <selection activeCell="B4" sqref="B4"/>
    </sheetView>
  </sheetViews>
  <sheetFormatPr defaultRowHeight="15" x14ac:dyDescent="0.25"/>
  <cols>
    <col min="1" max="1" width="18.7109375" bestFit="1" customWidth="1"/>
    <col min="2" max="2" width="16.28515625" bestFit="1" customWidth="1"/>
    <col min="3" max="3" width="10.5703125" bestFit="1" customWidth="1"/>
    <col min="4" max="4" width="9.28515625" bestFit="1" customWidth="1"/>
    <col min="5" max="5" width="15.5703125" bestFit="1" customWidth="1"/>
    <col min="6" max="6" width="10.140625" bestFit="1" customWidth="1"/>
    <col min="7" max="7" width="11.28515625" bestFit="1" customWidth="1"/>
  </cols>
  <sheetData>
    <row r="3" spans="1:7" x14ac:dyDescent="0.25">
      <c r="A3" s="12" t="s">
        <v>269</v>
      </c>
      <c r="B3" s="12" t="s">
        <v>268</v>
      </c>
    </row>
    <row r="4" spans="1:7" x14ac:dyDescent="0.25">
      <c r="A4" s="12" t="s">
        <v>265</v>
      </c>
      <c r="B4" t="s">
        <v>61</v>
      </c>
      <c r="C4" t="s">
        <v>52</v>
      </c>
      <c r="D4" t="s">
        <v>49</v>
      </c>
      <c r="E4" t="s">
        <v>42</v>
      </c>
      <c r="F4" t="s">
        <v>55</v>
      </c>
      <c r="G4" t="s">
        <v>266</v>
      </c>
    </row>
    <row r="5" spans="1:7" x14ac:dyDescent="0.25">
      <c r="A5" s="13" t="s">
        <v>58</v>
      </c>
      <c r="B5" s="14">
        <v>6</v>
      </c>
      <c r="C5" s="14">
        <v>4</v>
      </c>
      <c r="D5" s="14">
        <v>7</v>
      </c>
      <c r="E5" s="14">
        <v>12</v>
      </c>
      <c r="F5" s="14">
        <v>4</v>
      </c>
      <c r="G5" s="14">
        <v>33</v>
      </c>
    </row>
    <row r="6" spans="1:7" x14ac:dyDescent="0.25">
      <c r="A6" s="13" t="s">
        <v>46</v>
      </c>
      <c r="B6" s="14">
        <v>13</v>
      </c>
      <c r="C6" s="14">
        <v>28</v>
      </c>
      <c r="D6" s="14">
        <v>11</v>
      </c>
      <c r="E6" s="14">
        <v>17</v>
      </c>
      <c r="F6" s="14">
        <v>9</v>
      </c>
      <c r="G6" s="14">
        <v>78</v>
      </c>
    </row>
    <row r="7" spans="1:7" x14ac:dyDescent="0.25">
      <c r="A7" s="13" t="s">
        <v>48</v>
      </c>
      <c r="B7" s="14">
        <v>9</v>
      </c>
      <c r="C7" s="14">
        <v>20</v>
      </c>
      <c r="D7" s="14">
        <v>11</v>
      </c>
      <c r="E7" s="14">
        <v>10</v>
      </c>
      <c r="F7" s="14">
        <v>10</v>
      </c>
      <c r="G7" s="14">
        <v>60</v>
      </c>
    </row>
    <row r="8" spans="1:7" x14ac:dyDescent="0.25">
      <c r="A8" s="13" t="s">
        <v>41</v>
      </c>
      <c r="B8" s="14">
        <v>8</v>
      </c>
      <c r="C8" s="14">
        <v>5</v>
      </c>
      <c r="D8" s="14">
        <v>7</v>
      </c>
      <c r="E8" s="14">
        <v>5</v>
      </c>
      <c r="F8" s="14">
        <v>4</v>
      </c>
      <c r="G8" s="14">
        <v>29</v>
      </c>
    </row>
    <row r="9" spans="1:7" x14ac:dyDescent="0.25">
      <c r="A9" s="13" t="s">
        <v>266</v>
      </c>
      <c r="B9" s="14">
        <v>36</v>
      </c>
      <c r="C9" s="14">
        <v>57</v>
      </c>
      <c r="D9" s="14">
        <v>36</v>
      </c>
      <c r="E9" s="14">
        <v>44</v>
      </c>
      <c r="F9" s="14">
        <v>27</v>
      </c>
      <c r="G9" s="14">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7556B-0547-428D-8084-6409B467CEBF}">
  <dimension ref="A3:B8"/>
  <sheetViews>
    <sheetView workbookViewId="0">
      <selection activeCell="J6" sqref="J6"/>
    </sheetView>
  </sheetViews>
  <sheetFormatPr defaultRowHeight="15" x14ac:dyDescent="0.25"/>
  <cols>
    <col min="1" max="1" width="13.140625" bestFit="1" customWidth="1"/>
    <col min="2" max="2" width="17.28515625" bestFit="1" customWidth="1"/>
  </cols>
  <sheetData>
    <row r="3" spans="1:2" x14ac:dyDescent="0.25">
      <c r="A3" s="12" t="s">
        <v>265</v>
      </c>
      <c r="B3" t="s">
        <v>267</v>
      </c>
    </row>
    <row r="4" spans="1:2" x14ac:dyDescent="0.25">
      <c r="A4" s="13" t="s">
        <v>58</v>
      </c>
      <c r="B4" s="14">
        <v>247187</v>
      </c>
    </row>
    <row r="5" spans="1:2" x14ac:dyDescent="0.25">
      <c r="A5" s="13" t="s">
        <v>46</v>
      </c>
      <c r="B5" s="14">
        <v>655217</v>
      </c>
    </row>
    <row r="6" spans="1:2" x14ac:dyDescent="0.25">
      <c r="A6" s="13" t="s">
        <v>48</v>
      </c>
      <c r="B6" s="14">
        <v>463912</v>
      </c>
    </row>
    <row r="7" spans="1:2" x14ac:dyDescent="0.25">
      <c r="A7" s="13" t="s">
        <v>41</v>
      </c>
      <c r="B7" s="14">
        <v>208818</v>
      </c>
    </row>
    <row r="8" spans="1:2" x14ac:dyDescent="0.25">
      <c r="A8" s="13" t="s">
        <v>266</v>
      </c>
      <c r="B8" s="14">
        <v>1575134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D2A79-1E88-489D-88E2-788237B4A690}">
  <dimension ref="A1:B33"/>
  <sheetViews>
    <sheetView workbookViewId="0"/>
  </sheetViews>
  <sheetFormatPr defaultRowHeight="15" x14ac:dyDescent="0.25"/>
  <cols>
    <col min="1" max="1" width="13.140625" bestFit="1" customWidth="1"/>
    <col min="2" max="2" width="17.28515625" bestFit="1" customWidth="1"/>
  </cols>
  <sheetData>
    <row r="1" spans="1:2" x14ac:dyDescent="0.25">
      <c r="A1" s="12" t="s">
        <v>265</v>
      </c>
      <c r="B1" t="s">
        <v>267</v>
      </c>
    </row>
    <row r="2" spans="1:2" x14ac:dyDescent="0.25">
      <c r="A2" s="15">
        <v>46204</v>
      </c>
      <c r="B2" s="14">
        <v>26950</v>
      </c>
    </row>
    <row r="3" spans="1:2" x14ac:dyDescent="0.25">
      <c r="A3" s="15">
        <v>46205</v>
      </c>
      <c r="B3" s="14">
        <v>27930</v>
      </c>
    </row>
    <row r="4" spans="1:2" x14ac:dyDescent="0.25">
      <c r="A4" s="15">
        <v>46206</v>
      </c>
      <c r="B4" s="14">
        <v>31500</v>
      </c>
    </row>
    <row r="5" spans="1:2" x14ac:dyDescent="0.25">
      <c r="A5" s="15">
        <v>46207</v>
      </c>
      <c r="B5" s="14">
        <v>59589</v>
      </c>
    </row>
    <row r="6" spans="1:2" x14ac:dyDescent="0.25">
      <c r="A6" s="15">
        <v>46208</v>
      </c>
      <c r="B6" s="14">
        <v>40640</v>
      </c>
    </row>
    <row r="7" spans="1:2" x14ac:dyDescent="0.25">
      <c r="A7" s="15">
        <v>46209</v>
      </c>
      <c r="B7" s="14">
        <v>57626</v>
      </c>
    </row>
    <row r="8" spans="1:2" x14ac:dyDescent="0.25">
      <c r="A8" s="15">
        <v>46210</v>
      </c>
      <c r="B8" s="14">
        <v>48769</v>
      </c>
    </row>
    <row r="9" spans="1:2" x14ac:dyDescent="0.25">
      <c r="A9" s="15">
        <v>46211</v>
      </c>
      <c r="B9" s="14">
        <v>41895</v>
      </c>
    </row>
    <row r="10" spans="1:2" x14ac:dyDescent="0.25">
      <c r="A10" s="15">
        <v>46212</v>
      </c>
      <c r="B10" s="14">
        <v>19211</v>
      </c>
    </row>
    <row r="11" spans="1:2" x14ac:dyDescent="0.25">
      <c r="A11" s="15">
        <v>46213</v>
      </c>
      <c r="B11" s="14">
        <v>33925</v>
      </c>
    </row>
    <row r="12" spans="1:2" x14ac:dyDescent="0.25">
      <c r="A12" s="15">
        <v>46214</v>
      </c>
      <c r="B12" s="14">
        <v>25550</v>
      </c>
    </row>
    <row r="13" spans="1:2" x14ac:dyDescent="0.25">
      <c r="A13" s="15">
        <v>46215</v>
      </c>
      <c r="B13" s="14">
        <v>22892</v>
      </c>
    </row>
    <row r="14" spans="1:2" x14ac:dyDescent="0.25">
      <c r="A14" s="15">
        <v>46216</v>
      </c>
      <c r="B14" s="14">
        <v>52135</v>
      </c>
    </row>
    <row r="15" spans="1:2" x14ac:dyDescent="0.25">
      <c r="A15" s="15">
        <v>46217</v>
      </c>
      <c r="B15" s="14">
        <v>53105</v>
      </c>
    </row>
    <row r="16" spans="1:2" x14ac:dyDescent="0.25">
      <c r="A16" s="15">
        <v>46218</v>
      </c>
      <c r="B16" s="14">
        <v>63970</v>
      </c>
    </row>
    <row r="17" spans="1:2" x14ac:dyDescent="0.25">
      <c r="A17" s="15">
        <v>46219</v>
      </c>
      <c r="B17" s="14">
        <v>57944</v>
      </c>
    </row>
    <row r="18" spans="1:2" x14ac:dyDescent="0.25">
      <c r="A18" s="15">
        <v>46220</v>
      </c>
      <c r="B18" s="14">
        <v>53573</v>
      </c>
    </row>
    <row r="19" spans="1:2" x14ac:dyDescent="0.25">
      <c r="A19" s="15">
        <v>46221</v>
      </c>
      <c r="B19" s="14">
        <v>64933</v>
      </c>
    </row>
    <row r="20" spans="1:2" x14ac:dyDescent="0.25">
      <c r="A20" s="15">
        <v>46222</v>
      </c>
      <c r="B20" s="14">
        <v>67829</v>
      </c>
    </row>
    <row r="21" spans="1:2" x14ac:dyDescent="0.25">
      <c r="A21" s="15">
        <v>46223</v>
      </c>
      <c r="B21" s="14">
        <v>65254</v>
      </c>
    </row>
    <row r="22" spans="1:2" x14ac:dyDescent="0.25">
      <c r="A22" s="15">
        <v>46224</v>
      </c>
      <c r="B22" s="14">
        <v>35452</v>
      </c>
    </row>
    <row r="23" spans="1:2" x14ac:dyDescent="0.25">
      <c r="A23" s="15">
        <v>46225</v>
      </c>
      <c r="B23" s="14">
        <v>79927</v>
      </c>
    </row>
    <row r="24" spans="1:2" x14ac:dyDescent="0.25">
      <c r="A24" s="15">
        <v>46226</v>
      </c>
      <c r="B24" s="14">
        <v>28528</v>
      </c>
    </row>
    <row r="25" spans="1:2" x14ac:dyDescent="0.25">
      <c r="A25" s="15">
        <v>46227</v>
      </c>
      <c r="B25" s="14">
        <v>54531</v>
      </c>
    </row>
    <row r="26" spans="1:2" x14ac:dyDescent="0.25">
      <c r="A26" s="15">
        <v>46228</v>
      </c>
      <c r="B26" s="14">
        <v>86370</v>
      </c>
    </row>
    <row r="27" spans="1:2" x14ac:dyDescent="0.25">
      <c r="A27" s="15">
        <v>46229</v>
      </c>
      <c r="B27" s="14">
        <v>17535</v>
      </c>
    </row>
    <row r="28" spans="1:2" x14ac:dyDescent="0.25">
      <c r="A28" s="15">
        <v>46230</v>
      </c>
      <c r="B28" s="14">
        <v>72579</v>
      </c>
    </row>
    <row r="29" spans="1:2" x14ac:dyDescent="0.25">
      <c r="A29" s="15">
        <v>46231</v>
      </c>
      <c r="B29" s="14">
        <v>40417</v>
      </c>
    </row>
    <row r="30" spans="1:2" x14ac:dyDescent="0.25">
      <c r="A30" s="15">
        <v>46232</v>
      </c>
      <c r="B30" s="14">
        <v>114309</v>
      </c>
    </row>
    <row r="31" spans="1:2" x14ac:dyDescent="0.25">
      <c r="A31" s="15">
        <v>46233</v>
      </c>
      <c r="B31" s="14">
        <v>23281</v>
      </c>
    </row>
    <row r="32" spans="1:2" x14ac:dyDescent="0.25">
      <c r="A32" s="15">
        <v>46234</v>
      </c>
      <c r="B32" s="14">
        <v>106985</v>
      </c>
    </row>
    <row r="33" spans="1:2" x14ac:dyDescent="0.25">
      <c r="A33" s="15" t="s">
        <v>266</v>
      </c>
      <c r="B33" s="14">
        <v>1575134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24F86-10EB-45AE-98FC-05D44235B0E2}">
  <dimension ref="A1:B7"/>
  <sheetViews>
    <sheetView workbookViewId="0"/>
  </sheetViews>
  <sheetFormatPr defaultRowHeight="15" x14ac:dyDescent="0.25"/>
  <cols>
    <col min="1" max="1" width="15.42578125" bestFit="1" customWidth="1"/>
    <col min="2" max="2" width="17.28515625" bestFit="1" customWidth="1"/>
  </cols>
  <sheetData>
    <row r="1" spans="1:2" x14ac:dyDescent="0.25">
      <c r="A1" s="12" t="s">
        <v>265</v>
      </c>
      <c r="B1" t="s">
        <v>267</v>
      </c>
    </row>
    <row r="2" spans="1:2" x14ac:dyDescent="0.25">
      <c r="A2" s="13" t="s">
        <v>61</v>
      </c>
      <c r="B2" s="14">
        <v>216209</v>
      </c>
    </row>
    <row r="3" spans="1:2" x14ac:dyDescent="0.25">
      <c r="A3" s="13" t="s">
        <v>52</v>
      </c>
      <c r="B3" s="14">
        <v>476633</v>
      </c>
    </row>
    <row r="4" spans="1:2" x14ac:dyDescent="0.25">
      <c r="A4" s="13" t="s">
        <v>49</v>
      </c>
      <c r="B4" s="14">
        <v>555100</v>
      </c>
    </row>
    <row r="5" spans="1:2" x14ac:dyDescent="0.25">
      <c r="A5" s="13" t="s">
        <v>42</v>
      </c>
      <c r="B5" s="14">
        <v>288752</v>
      </c>
    </row>
    <row r="6" spans="1:2" x14ac:dyDescent="0.25">
      <c r="A6" s="13" t="s">
        <v>55</v>
      </c>
      <c r="B6" s="14">
        <v>38440</v>
      </c>
    </row>
    <row r="7" spans="1:2" x14ac:dyDescent="0.25">
      <c r="A7" s="13" t="s">
        <v>266</v>
      </c>
      <c r="B7" s="14">
        <v>1575134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4"/>
  <sheetViews>
    <sheetView showGridLines="0" zoomScaleNormal="100" workbookViewId="0">
      <pane ySplit="4" topLeftCell="A189" activePane="bottomLeft" state="frozen"/>
      <selection pane="bottomLeft" activeCell="A5" sqref="A4:H204"/>
    </sheetView>
  </sheetViews>
  <sheetFormatPr defaultColWidth="8.5703125" defaultRowHeight="15" x14ac:dyDescent="0.25"/>
  <cols>
    <col min="1" max="1" width="15" customWidth="1"/>
    <col min="2" max="2" width="13" customWidth="1"/>
    <col min="3" max="3" width="10" customWidth="1"/>
    <col min="4" max="4" width="17" customWidth="1"/>
    <col min="5" max="5" width="22" customWidth="1"/>
    <col min="6" max="7" width="11" customWidth="1"/>
    <col min="8" max="8" width="13" customWidth="1"/>
    <col min="10" max="10" width="20" customWidth="1"/>
    <col min="11" max="11" width="22" customWidth="1"/>
  </cols>
  <sheetData>
    <row r="1" spans="1:11" ht="20.25" x14ac:dyDescent="0.3">
      <c r="A1" s="1" t="s">
        <v>27</v>
      </c>
    </row>
    <row r="2" spans="1:11" x14ac:dyDescent="0.25">
      <c r="A2" s="2" t="s">
        <v>28</v>
      </c>
      <c r="J2" s="6" t="s">
        <v>29</v>
      </c>
    </row>
    <row r="3" spans="1:11" x14ac:dyDescent="0.25">
      <c r="J3" s="3" t="s">
        <v>30</v>
      </c>
      <c r="K3" s="3">
        <f>COUNTA(A5:A204)</f>
        <v>200</v>
      </c>
    </row>
    <row r="4" spans="1:11" ht="30" x14ac:dyDescent="0.25">
      <c r="A4" s="7" t="s">
        <v>31</v>
      </c>
      <c r="B4" s="7" t="s">
        <v>32</v>
      </c>
      <c r="C4" s="7" t="s">
        <v>33</v>
      </c>
      <c r="D4" s="7" t="s">
        <v>34</v>
      </c>
      <c r="E4" s="7" t="s">
        <v>35</v>
      </c>
      <c r="F4" s="7" t="s">
        <v>36</v>
      </c>
      <c r="G4" s="7" t="s">
        <v>37</v>
      </c>
      <c r="H4" s="7" t="s">
        <v>38</v>
      </c>
      <c r="J4" s="3" t="s">
        <v>39</v>
      </c>
      <c r="K4" s="8">
        <f>SUM(H5:H204)</f>
        <v>1575134</v>
      </c>
    </row>
    <row r="5" spans="1:11" x14ac:dyDescent="0.25">
      <c r="A5" s="9" t="s">
        <v>40</v>
      </c>
      <c r="B5" s="10">
        <v>46204</v>
      </c>
      <c r="C5" s="9" t="s">
        <v>41</v>
      </c>
      <c r="D5" s="9" t="s">
        <v>42</v>
      </c>
      <c r="E5" s="9" t="s">
        <v>43</v>
      </c>
      <c r="F5" s="9">
        <v>9</v>
      </c>
      <c r="G5" s="11">
        <v>350</v>
      </c>
      <c r="H5" s="11">
        <f t="shared" ref="H5:H36" si="0">F5*G5</f>
        <v>3150</v>
      </c>
      <c r="J5" s="3" t="s">
        <v>44</v>
      </c>
      <c r="K5" s="3" t="str">
        <f>TEXT(MIN(B5:B204),"dd-mmm")&amp;" to "&amp;TEXT(MAX(B5:B204),"dd-mmm-yyyy")</f>
        <v>01-Jul to 31-Jul-2026</v>
      </c>
    </row>
    <row r="6" spans="1:11" x14ac:dyDescent="0.25">
      <c r="A6" s="9" t="s">
        <v>45</v>
      </c>
      <c r="B6" s="10">
        <v>46204</v>
      </c>
      <c r="C6" s="9" t="s">
        <v>46</v>
      </c>
      <c r="D6" s="9" t="s">
        <v>42</v>
      </c>
      <c r="E6" s="9" t="s">
        <v>43</v>
      </c>
      <c r="F6" s="9">
        <v>8</v>
      </c>
      <c r="G6" s="11">
        <v>350</v>
      </c>
      <c r="H6" s="11">
        <f t="shared" si="0"/>
        <v>2800</v>
      </c>
    </row>
    <row r="7" spans="1:11" x14ac:dyDescent="0.25">
      <c r="A7" s="9" t="s">
        <v>47</v>
      </c>
      <c r="B7" s="10">
        <v>46204</v>
      </c>
      <c r="C7" s="9" t="s">
        <v>48</v>
      </c>
      <c r="D7" s="9" t="s">
        <v>49</v>
      </c>
      <c r="E7" s="9" t="s">
        <v>50</v>
      </c>
      <c r="F7" s="9">
        <v>11</v>
      </c>
      <c r="G7" s="11">
        <v>1800</v>
      </c>
      <c r="H7" s="11">
        <f t="shared" si="0"/>
        <v>19800</v>
      </c>
    </row>
    <row r="8" spans="1:11" x14ac:dyDescent="0.25">
      <c r="A8" s="9" t="s">
        <v>51</v>
      </c>
      <c r="B8" s="10">
        <v>46204</v>
      </c>
      <c r="C8" s="9" t="s">
        <v>48</v>
      </c>
      <c r="D8" s="9" t="s">
        <v>52</v>
      </c>
      <c r="E8" s="9" t="s">
        <v>53</v>
      </c>
      <c r="F8" s="9">
        <v>1</v>
      </c>
      <c r="G8" s="11">
        <v>1200</v>
      </c>
      <c r="H8" s="11">
        <f t="shared" si="0"/>
        <v>1200</v>
      </c>
    </row>
    <row r="9" spans="1:11" x14ac:dyDescent="0.25">
      <c r="A9" s="9" t="s">
        <v>54</v>
      </c>
      <c r="B9" s="10">
        <v>46205</v>
      </c>
      <c r="C9" s="9" t="s">
        <v>41</v>
      </c>
      <c r="D9" s="9" t="s">
        <v>55</v>
      </c>
      <c r="E9" s="9" t="s">
        <v>56</v>
      </c>
      <c r="F9" s="9">
        <v>4</v>
      </c>
      <c r="G9" s="11">
        <v>150</v>
      </c>
      <c r="H9" s="11">
        <f t="shared" si="0"/>
        <v>600</v>
      </c>
    </row>
    <row r="10" spans="1:11" x14ac:dyDescent="0.25">
      <c r="A10" s="9" t="s">
        <v>57</v>
      </c>
      <c r="B10" s="10">
        <v>46205</v>
      </c>
      <c r="C10" s="9" t="s">
        <v>58</v>
      </c>
      <c r="D10" s="9" t="s">
        <v>52</v>
      </c>
      <c r="E10" s="9" t="s">
        <v>59</v>
      </c>
      <c r="F10" s="9">
        <v>12</v>
      </c>
      <c r="G10" s="11">
        <v>899</v>
      </c>
      <c r="H10" s="11">
        <f t="shared" si="0"/>
        <v>10788</v>
      </c>
    </row>
    <row r="11" spans="1:11" x14ac:dyDescent="0.25">
      <c r="A11" s="9" t="s">
        <v>60</v>
      </c>
      <c r="B11" s="10">
        <v>46205</v>
      </c>
      <c r="C11" s="9" t="s">
        <v>41</v>
      </c>
      <c r="D11" s="9" t="s">
        <v>61</v>
      </c>
      <c r="E11" s="9" t="s">
        <v>62</v>
      </c>
      <c r="F11" s="9">
        <v>8</v>
      </c>
      <c r="G11" s="11">
        <v>1899</v>
      </c>
      <c r="H11" s="11">
        <f t="shared" si="0"/>
        <v>15192</v>
      </c>
    </row>
    <row r="12" spans="1:11" x14ac:dyDescent="0.25">
      <c r="A12" s="9" t="s">
        <v>63</v>
      </c>
      <c r="B12" s="10">
        <v>46205</v>
      </c>
      <c r="C12" s="9" t="s">
        <v>48</v>
      </c>
      <c r="D12" s="9" t="s">
        <v>61</v>
      </c>
      <c r="E12" s="9" t="s">
        <v>64</v>
      </c>
      <c r="F12" s="9">
        <v>3</v>
      </c>
      <c r="G12" s="11">
        <v>450</v>
      </c>
      <c r="H12" s="11">
        <f t="shared" si="0"/>
        <v>1350</v>
      </c>
    </row>
    <row r="13" spans="1:11" x14ac:dyDescent="0.25">
      <c r="A13" s="9" t="s">
        <v>65</v>
      </c>
      <c r="B13" s="10">
        <v>46206</v>
      </c>
      <c r="C13" s="9" t="s">
        <v>46</v>
      </c>
      <c r="D13" s="9" t="s">
        <v>42</v>
      </c>
      <c r="E13" s="9" t="s">
        <v>43</v>
      </c>
      <c r="F13" s="9">
        <v>2</v>
      </c>
      <c r="G13" s="11">
        <v>350</v>
      </c>
      <c r="H13" s="11">
        <f t="shared" si="0"/>
        <v>700</v>
      </c>
    </row>
    <row r="14" spans="1:11" x14ac:dyDescent="0.25">
      <c r="A14" s="9" t="s">
        <v>66</v>
      </c>
      <c r="B14" s="10">
        <v>46206</v>
      </c>
      <c r="C14" s="9" t="s">
        <v>46</v>
      </c>
      <c r="D14" s="9" t="s">
        <v>49</v>
      </c>
      <c r="E14" s="9" t="s">
        <v>67</v>
      </c>
      <c r="F14" s="9">
        <v>2</v>
      </c>
      <c r="G14" s="11">
        <v>2500</v>
      </c>
      <c r="H14" s="11">
        <f t="shared" si="0"/>
        <v>5000</v>
      </c>
    </row>
    <row r="15" spans="1:11" x14ac:dyDescent="0.25">
      <c r="A15" s="9" t="s">
        <v>68</v>
      </c>
      <c r="B15" s="10">
        <v>46206</v>
      </c>
      <c r="C15" s="9" t="s">
        <v>48</v>
      </c>
      <c r="D15" s="9" t="s">
        <v>49</v>
      </c>
      <c r="E15" s="9" t="s">
        <v>50</v>
      </c>
      <c r="F15" s="9">
        <v>7</v>
      </c>
      <c r="G15" s="11">
        <v>1800</v>
      </c>
      <c r="H15" s="11">
        <f t="shared" si="0"/>
        <v>12600</v>
      </c>
    </row>
    <row r="16" spans="1:11" x14ac:dyDescent="0.25">
      <c r="A16" s="9" t="s">
        <v>69</v>
      </c>
      <c r="B16" s="10">
        <v>46206</v>
      </c>
      <c r="C16" s="9" t="s">
        <v>48</v>
      </c>
      <c r="D16" s="9" t="s">
        <v>52</v>
      </c>
      <c r="E16" s="9" t="s">
        <v>53</v>
      </c>
      <c r="F16" s="9">
        <v>11</v>
      </c>
      <c r="G16" s="11">
        <v>1200</v>
      </c>
      <c r="H16" s="11">
        <f t="shared" si="0"/>
        <v>13200</v>
      </c>
    </row>
    <row r="17" spans="1:8" x14ac:dyDescent="0.25">
      <c r="A17" s="9" t="s">
        <v>70</v>
      </c>
      <c r="B17" s="10">
        <v>46207</v>
      </c>
      <c r="C17" s="9" t="s">
        <v>48</v>
      </c>
      <c r="D17" s="9" t="s">
        <v>42</v>
      </c>
      <c r="E17" s="9" t="s">
        <v>71</v>
      </c>
      <c r="F17" s="9">
        <v>4</v>
      </c>
      <c r="G17" s="11">
        <v>899</v>
      </c>
      <c r="H17" s="11">
        <f t="shared" si="0"/>
        <v>3596</v>
      </c>
    </row>
    <row r="18" spans="1:8" x14ac:dyDescent="0.25">
      <c r="A18" s="9" t="s">
        <v>72</v>
      </c>
      <c r="B18" s="10">
        <v>46207</v>
      </c>
      <c r="C18" s="9" t="s">
        <v>58</v>
      </c>
      <c r="D18" s="9" t="s">
        <v>52</v>
      </c>
      <c r="E18" s="9" t="s">
        <v>53</v>
      </c>
      <c r="F18" s="9">
        <v>9</v>
      </c>
      <c r="G18" s="11">
        <v>1200</v>
      </c>
      <c r="H18" s="11">
        <f t="shared" si="0"/>
        <v>10800</v>
      </c>
    </row>
    <row r="19" spans="1:8" x14ac:dyDescent="0.25">
      <c r="A19" s="9" t="s">
        <v>73</v>
      </c>
      <c r="B19" s="10">
        <v>46207</v>
      </c>
      <c r="C19" s="9" t="s">
        <v>46</v>
      </c>
      <c r="D19" s="9" t="s">
        <v>49</v>
      </c>
      <c r="E19" s="9" t="s">
        <v>74</v>
      </c>
      <c r="F19" s="9">
        <v>10</v>
      </c>
      <c r="G19" s="11">
        <v>3400</v>
      </c>
      <c r="H19" s="11">
        <f t="shared" si="0"/>
        <v>34000</v>
      </c>
    </row>
    <row r="20" spans="1:8" x14ac:dyDescent="0.25">
      <c r="A20" s="9" t="s">
        <v>75</v>
      </c>
      <c r="B20" s="10">
        <v>46207</v>
      </c>
      <c r="C20" s="9" t="s">
        <v>46</v>
      </c>
      <c r="D20" s="9" t="s">
        <v>52</v>
      </c>
      <c r="E20" s="9" t="s">
        <v>76</v>
      </c>
      <c r="F20" s="9">
        <v>7</v>
      </c>
      <c r="G20" s="11">
        <v>1599</v>
      </c>
      <c r="H20" s="11">
        <f t="shared" si="0"/>
        <v>11193</v>
      </c>
    </row>
    <row r="21" spans="1:8" x14ac:dyDescent="0.25">
      <c r="A21" s="9" t="s">
        <v>77</v>
      </c>
      <c r="B21" s="10">
        <v>46208</v>
      </c>
      <c r="C21" s="9" t="s">
        <v>46</v>
      </c>
      <c r="D21" s="9" t="s">
        <v>42</v>
      </c>
      <c r="E21" s="9" t="s">
        <v>78</v>
      </c>
      <c r="F21" s="9">
        <v>7</v>
      </c>
      <c r="G21" s="11">
        <v>3200</v>
      </c>
      <c r="H21" s="11">
        <f t="shared" si="0"/>
        <v>22400</v>
      </c>
    </row>
    <row r="22" spans="1:8" x14ac:dyDescent="0.25">
      <c r="A22" s="9" t="s">
        <v>79</v>
      </c>
      <c r="B22" s="10">
        <v>46208</v>
      </c>
      <c r="C22" s="9" t="s">
        <v>58</v>
      </c>
      <c r="D22" s="9" t="s">
        <v>49</v>
      </c>
      <c r="E22" s="9" t="s">
        <v>50</v>
      </c>
      <c r="F22" s="9">
        <v>1</v>
      </c>
      <c r="G22" s="11">
        <v>1800</v>
      </c>
      <c r="H22" s="11">
        <f t="shared" si="0"/>
        <v>1800</v>
      </c>
    </row>
    <row r="23" spans="1:8" x14ac:dyDescent="0.25">
      <c r="A23" s="9" t="s">
        <v>80</v>
      </c>
      <c r="B23" s="10">
        <v>46208</v>
      </c>
      <c r="C23" s="9" t="s">
        <v>46</v>
      </c>
      <c r="D23" s="9" t="s">
        <v>55</v>
      </c>
      <c r="E23" s="9" t="s">
        <v>56</v>
      </c>
      <c r="F23" s="9">
        <v>3</v>
      </c>
      <c r="G23" s="11">
        <v>150</v>
      </c>
      <c r="H23" s="11">
        <f t="shared" si="0"/>
        <v>450</v>
      </c>
    </row>
    <row r="24" spans="1:8" x14ac:dyDescent="0.25">
      <c r="A24" s="9" t="s">
        <v>81</v>
      </c>
      <c r="B24" s="10">
        <v>46208</v>
      </c>
      <c r="C24" s="9" t="s">
        <v>48</v>
      </c>
      <c r="D24" s="9" t="s">
        <v>52</v>
      </c>
      <c r="E24" s="9" t="s">
        <v>76</v>
      </c>
      <c r="F24" s="9">
        <v>10</v>
      </c>
      <c r="G24" s="11">
        <v>1599</v>
      </c>
      <c r="H24" s="11">
        <f t="shared" si="0"/>
        <v>15990</v>
      </c>
    </row>
    <row r="25" spans="1:8" x14ac:dyDescent="0.25">
      <c r="A25" s="9" t="s">
        <v>82</v>
      </c>
      <c r="B25" s="10">
        <v>46209</v>
      </c>
      <c r="C25" s="9" t="s">
        <v>46</v>
      </c>
      <c r="D25" s="9" t="s">
        <v>42</v>
      </c>
      <c r="E25" s="9" t="s">
        <v>78</v>
      </c>
      <c r="F25" s="9">
        <v>2</v>
      </c>
      <c r="G25" s="11">
        <v>3200</v>
      </c>
      <c r="H25" s="11">
        <f t="shared" si="0"/>
        <v>6400</v>
      </c>
    </row>
    <row r="26" spans="1:8" x14ac:dyDescent="0.25">
      <c r="A26" s="9" t="s">
        <v>83</v>
      </c>
      <c r="B26" s="10">
        <v>46209</v>
      </c>
      <c r="C26" s="9" t="s">
        <v>48</v>
      </c>
      <c r="D26" s="9" t="s">
        <v>52</v>
      </c>
      <c r="E26" s="9" t="s">
        <v>76</v>
      </c>
      <c r="F26" s="9">
        <v>10</v>
      </c>
      <c r="G26" s="11">
        <v>1599</v>
      </c>
      <c r="H26" s="11">
        <f t="shared" si="0"/>
        <v>15990</v>
      </c>
    </row>
    <row r="27" spans="1:8" x14ac:dyDescent="0.25">
      <c r="A27" s="9" t="s">
        <v>84</v>
      </c>
      <c r="B27" s="10">
        <v>46209</v>
      </c>
      <c r="C27" s="9" t="s">
        <v>46</v>
      </c>
      <c r="D27" s="9" t="s">
        <v>49</v>
      </c>
      <c r="E27" s="9" t="s">
        <v>67</v>
      </c>
      <c r="F27" s="9">
        <v>11</v>
      </c>
      <c r="G27" s="11">
        <v>2500</v>
      </c>
      <c r="H27" s="11">
        <f t="shared" si="0"/>
        <v>27500</v>
      </c>
    </row>
    <row r="28" spans="1:8" x14ac:dyDescent="0.25">
      <c r="A28" s="9" t="s">
        <v>85</v>
      </c>
      <c r="B28" s="10">
        <v>46209</v>
      </c>
      <c r="C28" s="9" t="s">
        <v>46</v>
      </c>
      <c r="D28" s="9" t="s">
        <v>55</v>
      </c>
      <c r="E28" s="9" t="s">
        <v>86</v>
      </c>
      <c r="F28" s="9">
        <v>6</v>
      </c>
      <c r="G28" s="11">
        <v>90</v>
      </c>
      <c r="H28" s="11">
        <f t="shared" si="0"/>
        <v>540</v>
      </c>
    </row>
    <row r="29" spans="1:8" x14ac:dyDescent="0.25">
      <c r="A29" s="9" t="s">
        <v>87</v>
      </c>
      <c r="B29" s="10">
        <v>46209</v>
      </c>
      <c r="C29" s="9" t="s">
        <v>41</v>
      </c>
      <c r="D29" s="9" t="s">
        <v>42</v>
      </c>
      <c r="E29" s="9" t="s">
        <v>71</v>
      </c>
      <c r="F29" s="9">
        <v>4</v>
      </c>
      <c r="G29" s="11">
        <v>899</v>
      </c>
      <c r="H29" s="11">
        <f t="shared" si="0"/>
        <v>3596</v>
      </c>
    </row>
    <row r="30" spans="1:8" x14ac:dyDescent="0.25">
      <c r="A30" s="9" t="s">
        <v>88</v>
      </c>
      <c r="B30" s="10">
        <v>46209</v>
      </c>
      <c r="C30" s="9" t="s">
        <v>46</v>
      </c>
      <c r="D30" s="9" t="s">
        <v>52</v>
      </c>
      <c r="E30" s="9" t="s">
        <v>53</v>
      </c>
      <c r="F30" s="9">
        <v>3</v>
      </c>
      <c r="G30" s="11">
        <v>1200</v>
      </c>
      <c r="H30" s="11">
        <f t="shared" si="0"/>
        <v>3600</v>
      </c>
    </row>
    <row r="31" spans="1:8" x14ac:dyDescent="0.25">
      <c r="A31" s="9" t="s">
        <v>89</v>
      </c>
      <c r="B31" s="10">
        <v>46210</v>
      </c>
      <c r="C31" s="9" t="s">
        <v>46</v>
      </c>
      <c r="D31" s="9" t="s">
        <v>52</v>
      </c>
      <c r="E31" s="9" t="s">
        <v>76</v>
      </c>
      <c r="F31" s="9">
        <v>1</v>
      </c>
      <c r="G31" s="11">
        <v>1599</v>
      </c>
      <c r="H31" s="11">
        <f t="shared" si="0"/>
        <v>1599</v>
      </c>
    </row>
    <row r="32" spans="1:8" x14ac:dyDescent="0.25">
      <c r="A32" s="9" t="s">
        <v>90</v>
      </c>
      <c r="B32" s="10">
        <v>46210</v>
      </c>
      <c r="C32" s="9" t="s">
        <v>46</v>
      </c>
      <c r="D32" s="9" t="s">
        <v>61</v>
      </c>
      <c r="E32" s="9" t="s">
        <v>91</v>
      </c>
      <c r="F32" s="9">
        <v>9</v>
      </c>
      <c r="G32" s="11">
        <v>620</v>
      </c>
      <c r="H32" s="11">
        <f t="shared" si="0"/>
        <v>5580</v>
      </c>
    </row>
    <row r="33" spans="1:8" x14ac:dyDescent="0.25">
      <c r="A33" s="9" t="s">
        <v>92</v>
      </c>
      <c r="B33" s="10">
        <v>46210</v>
      </c>
      <c r="C33" s="9" t="s">
        <v>48</v>
      </c>
      <c r="D33" s="9" t="s">
        <v>52</v>
      </c>
      <c r="E33" s="9" t="s">
        <v>76</v>
      </c>
      <c r="F33" s="9">
        <v>10</v>
      </c>
      <c r="G33" s="11">
        <v>1599</v>
      </c>
      <c r="H33" s="11">
        <f t="shared" si="0"/>
        <v>15990</v>
      </c>
    </row>
    <row r="34" spans="1:8" x14ac:dyDescent="0.25">
      <c r="A34" s="9" t="s">
        <v>93</v>
      </c>
      <c r="B34" s="10">
        <v>46210</v>
      </c>
      <c r="C34" s="9" t="s">
        <v>48</v>
      </c>
      <c r="D34" s="9" t="s">
        <v>49</v>
      </c>
      <c r="E34" s="9" t="s">
        <v>67</v>
      </c>
      <c r="F34" s="9">
        <v>4</v>
      </c>
      <c r="G34" s="11">
        <v>2500</v>
      </c>
      <c r="H34" s="11">
        <f t="shared" si="0"/>
        <v>10000</v>
      </c>
    </row>
    <row r="35" spans="1:8" x14ac:dyDescent="0.25">
      <c r="A35" s="9" t="s">
        <v>94</v>
      </c>
      <c r="B35" s="10">
        <v>46210</v>
      </c>
      <c r="C35" s="9" t="s">
        <v>58</v>
      </c>
      <c r="D35" s="9" t="s">
        <v>42</v>
      </c>
      <c r="E35" s="9" t="s">
        <v>78</v>
      </c>
      <c r="F35" s="9">
        <v>4</v>
      </c>
      <c r="G35" s="11">
        <v>3200</v>
      </c>
      <c r="H35" s="11">
        <f t="shared" si="0"/>
        <v>12800</v>
      </c>
    </row>
    <row r="36" spans="1:8" x14ac:dyDescent="0.25">
      <c r="A36" s="9" t="s">
        <v>95</v>
      </c>
      <c r="B36" s="10">
        <v>46210</v>
      </c>
      <c r="C36" s="9" t="s">
        <v>46</v>
      </c>
      <c r="D36" s="9" t="s">
        <v>42</v>
      </c>
      <c r="E36" s="9" t="s">
        <v>43</v>
      </c>
      <c r="F36" s="9">
        <v>8</v>
      </c>
      <c r="G36" s="11">
        <v>350</v>
      </c>
      <c r="H36" s="11">
        <f t="shared" si="0"/>
        <v>2800</v>
      </c>
    </row>
    <row r="37" spans="1:8" x14ac:dyDescent="0.25">
      <c r="A37" s="9" t="s">
        <v>96</v>
      </c>
      <c r="B37" s="10">
        <v>46211</v>
      </c>
      <c r="C37" s="9" t="s">
        <v>46</v>
      </c>
      <c r="D37" s="9" t="s">
        <v>52</v>
      </c>
      <c r="E37" s="9" t="s">
        <v>59</v>
      </c>
      <c r="F37" s="9">
        <v>2</v>
      </c>
      <c r="G37" s="11">
        <v>899</v>
      </c>
      <c r="H37" s="11">
        <f t="shared" ref="H37:H68" si="1">F37*G37</f>
        <v>1798</v>
      </c>
    </row>
    <row r="38" spans="1:8" x14ac:dyDescent="0.25">
      <c r="A38" s="9" t="s">
        <v>97</v>
      </c>
      <c r="B38" s="10">
        <v>46211</v>
      </c>
      <c r="C38" s="9" t="s">
        <v>41</v>
      </c>
      <c r="D38" s="9" t="s">
        <v>61</v>
      </c>
      <c r="E38" s="9" t="s">
        <v>62</v>
      </c>
      <c r="F38" s="9">
        <v>3</v>
      </c>
      <c r="G38" s="11">
        <v>1899</v>
      </c>
      <c r="H38" s="11">
        <f t="shared" si="1"/>
        <v>5697</v>
      </c>
    </row>
    <row r="39" spans="1:8" x14ac:dyDescent="0.25">
      <c r="A39" s="9" t="s">
        <v>98</v>
      </c>
      <c r="B39" s="10">
        <v>46211</v>
      </c>
      <c r="C39" s="9" t="s">
        <v>41</v>
      </c>
      <c r="D39" s="9" t="s">
        <v>61</v>
      </c>
      <c r="E39" s="9" t="s">
        <v>64</v>
      </c>
      <c r="F39" s="9">
        <v>5</v>
      </c>
      <c r="G39" s="11">
        <v>450</v>
      </c>
      <c r="H39" s="11">
        <f t="shared" si="1"/>
        <v>2250</v>
      </c>
    </row>
    <row r="40" spans="1:8" x14ac:dyDescent="0.25">
      <c r="A40" s="9" t="s">
        <v>99</v>
      </c>
      <c r="B40" s="10">
        <v>46211</v>
      </c>
      <c r="C40" s="9" t="s">
        <v>41</v>
      </c>
      <c r="D40" s="9" t="s">
        <v>49</v>
      </c>
      <c r="E40" s="9" t="s">
        <v>50</v>
      </c>
      <c r="F40" s="9">
        <v>1</v>
      </c>
      <c r="G40" s="11">
        <v>1800</v>
      </c>
      <c r="H40" s="11">
        <f t="shared" si="1"/>
        <v>1800</v>
      </c>
    </row>
    <row r="41" spans="1:8" x14ac:dyDescent="0.25">
      <c r="A41" s="9" t="s">
        <v>100</v>
      </c>
      <c r="B41" s="10">
        <v>46211</v>
      </c>
      <c r="C41" s="9" t="s">
        <v>58</v>
      </c>
      <c r="D41" s="9" t="s">
        <v>61</v>
      </c>
      <c r="E41" s="9" t="s">
        <v>64</v>
      </c>
      <c r="F41" s="9">
        <v>7</v>
      </c>
      <c r="G41" s="11">
        <v>450</v>
      </c>
      <c r="H41" s="11">
        <f t="shared" si="1"/>
        <v>3150</v>
      </c>
    </row>
    <row r="42" spans="1:8" x14ac:dyDescent="0.25">
      <c r="A42" s="9" t="s">
        <v>101</v>
      </c>
      <c r="B42" s="10">
        <v>46211</v>
      </c>
      <c r="C42" s="9" t="s">
        <v>46</v>
      </c>
      <c r="D42" s="9" t="s">
        <v>49</v>
      </c>
      <c r="E42" s="9" t="s">
        <v>74</v>
      </c>
      <c r="F42" s="9">
        <v>8</v>
      </c>
      <c r="G42" s="11">
        <v>3400</v>
      </c>
      <c r="H42" s="11">
        <f t="shared" si="1"/>
        <v>27200</v>
      </c>
    </row>
    <row r="43" spans="1:8" x14ac:dyDescent="0.25">
      <c r="A43" s="9" t="s">
        <v>102</v>
      </c>
      <c r="B43" s="10">
        <v>46212</v>
      </c>
      <c r="C43" s="9" t="s">
        <v>58</v>
      </c>
      <c r="D43" s="9" t="s">
        <v>42</v>
      </c>
      <c r="E43" s="9" t="s">
        <v>43</v>
      </c>
      <c r="F43" s="9">
        <v>4</v>
      </c>
      <c r="G43" s="11">
        <v>350</v>
      </c>
      <c r="H43" s="11">
        <f t="shared" si="1"/>
        <v>1400</v>
      </c>
    </row>
    <row r="44" spans="1:8" x14ac:dyDescent="0.25">
      <c r="A44" s="9" t="s">
        <v>103</v>
      </c>
      <c r="B44" s="10">
        <v>46212</v>
      </c>
      <c r="C44" s="9" t="s">
        <v>41</v>
      </c>
      <c r="D44" s="9" t="s">
        <v>61</v>
      </c>
      <c r="E44" s="9" t="s">
        <v>64</v>
      </c>
      <c r="F44" s="9">
        <v>6</v>
      </c>
      <c r="G44" s="11">
        <v>450</v>
      </c>
      <c r="H44" s="11">
        <f t="shared" si="1"/>
        <v>2700</v>
      </c>
    </row>
    <row r="45" spans="1:8" x14ac:dyDescent="0.25">
      <c r="A45" s="9" t="s">
        <v>104</v>
      </c>
      <c r="B45" s="10">
        <v>46212</v>
      </c>
      <c r="C45" s="9" t="s">
        <v>48</v>
      </c>
      <c r="D45" s="9" t="s">
        <v>55</v>
      </c>
      <c r="E45" s="9" t="s">
        <v>86</v>
      </c>
      <c r="F45" s="9">
        <v>8</v>
      </c>
      <c r="G45" s="11">
        <v>90</v>
      </c>
      <c r="H45" s="11">
        <f t="shared" si="1"/>
        <v>720</v>
      </c>
    </row>
    <row r="46" spans="1:8" x14ac:dyDescent="0.25">
      <c r="A46" s="9" t="s">
        <v>105</v>
      </c>
      <c r="B46" s="10">
        <v>46212</v>
      </c>
      <c r="C46" s="9" t="s">
        <v>46</v>
      </c>
      <c r="D46" s="9" t="s">
        <v>52</v>
      </c>
      <c r="E46" s="9" t="s">
        <v>76</v>
      </c>
      <c r="F46" s="9">
        <v>9</v>
      </c>
      <c r="G46" s="11">
        <v>1599</v>
      </c>
      <c r="H46" s="11">
        <f t="shared" si="1"/>
        <v>14391</v>
      </c>
    </row>
    <row r="47" spans="1:8" x14ac:dyDescent="0.25">
      <c r="A47" s="9" t="s">
        <v>106</v>
      </c>
      <c r="B47" s="10">
        <v>46213</v>
      </c>
      <c r="C47" s="9" t="s">
        <v>58</v>
      </c>
      <c r="D47" s="9" t="s">
        <v>52</v>
      </c>
      <c r="E47" s="9" t="s">
        <v>76</v>
      </c>
      <c r="F47" s="9">
        <v>1</v>
      </c>
      <c r="G47" s="11">
        <v>1599</v>
      </c>
      <c r="H47" s="11">
        <f t="shared" si="1"/>
        <v>1599</v>
      </c>
    </row>
    <row r="48" spans="1:8" x14ac:dyDescent="0.25">
      <c r="A48" s="9" t="s">
        <v>107</v>
      </c>
      <c r="B48" s="10">
        <v>46213</v>
      </c>
      <c r="C48" s="9" t="s">
        <v>41</v>
      </c>
      <c r="D48" s="9" t="s">
        <v>49</v>
      </c>
      <c r="E48" s="9" t="s">
        <v>67</v>
      </c>
      <c r="F48" s="9">
        <v>7</v>
      </c>
      <c r="G48" s="11">
        <v>2500</v>
      </c>
      <c r="H48" s="11">
        <f t="shared" si="1"/>
        <v>17500</v>
      </c>
    </row>
    <row r="49" spans="1:8" x14ac:dyDescent="0.25">
      <c r="A49" s="9" t="s">
        <v>108</v>
      </c>
      <c r="B49" s="10">
        <v>46213</v>
      </c>
      <c r="C49" s="9" t="s">
        <v>46</v>
      </c>
      <c r="D49" s="9" t="s">
        <v>55</v>
      </c>
      <c r="E49" s="9" t="s">
        <v>109</v>
      </c>
      <c r="F49" s="9">
        <v>7</v>
      </c>
      <c r="G49" s="11">
        <v>320</v>
      </c>
      <c r="H49" s="11">
        <f t="shared" si="1"/>
        <v>2240</v>
      </c>
    </row>
    <row r="50" spans="1:8" x14ac:dyDescent="0.25">
      <c r="A50" s="9" t="s">
        <v>110</v>
      </c>
      <c r="B50" s="10">
        <v>46213</v>
      </c>
      <c r="C50" s="9" t="s">
        <v>48</v>
      </c>
      <c r="D50" s="9" t="s">
        <v>42</v>
      </c>
      <c r="E50" s="9" t="s">
        <v>71</v>
      </c>
      <c r="F50" s="9">
        <v>3</v>
      </c>
      <c r="G50" s="11">
        <v>899</v>
      </c>
      <c r="H50" s="11">
        <f t="shared" si="1"/>
        <v>2697</v>
      </c>
    </row>
    <row r="51" spans="1:8" x14ac:dyDescent="0.25">
      <c r="A51" s="9" t="s">
        <v>111</v>
      </c>
      <c r="B51" s="10">
        <v>46213</v>
      </c>
      <c r="C51" s="9" t="s">
        <v>46</v>
      </c>
      <c r="D51" s="9" t="s">
        <v>42</v>
      </c>
      <c r="E51" s="9" t="s">
        <v>71</v>
      </c>
      <c r="F51" s="9">
        <v>11</v>
      </c>
      <c r="G51" s="11">
        <v>899</v>
      </c>
      <c r="H51" s="11">
        <f t="shared" si="1"/>
        <v>9889</v>
      </c>
    </row>
    <row r="52" spans="1:8" x14ac:dyDescent="0.25">
      <c r="A52" s="9" t="s">
        <v>112</v>
      </c>
      <c r="B52" s="10">
        <v>46214</v>
      </c>
      <c r="C52" s="9" t="s">
        <v>46</v>
      </c>
      <c r="D52" s="9" t="s">
        <v>52</v>
      </c>
      <c r="E52" s="9" t="s">
        <v>59</v>
      </c>
      <c r="F52" s="9">
        <v>2</v>
      </c>
      <c r="G52" s="11">
        <v>899</v>
      </c>
      <c r="H52" s="11">
        <f t="shared" si="1"/>
        <v>1798</v>
      </c>
    </row>
    <row r="53" spans="1:8" x14ac:dyDescent="0.25">
      <c r="A53" s="9" t="s">
        <v>113</v>
      </c>
      <c r="B53" s="10">
        <v>46214</v>
      </c>
      <c r="C53" s="9" t="s">
        <v>48</v>
      </c>
      <c r="D53" s="9" t="s">
        <v>61</v>
      </c>
      <c r="E53" s="9" t="s">
        <v>91</v>
      </c>
      <c r="F53" s="9">
        <v>8</v>
      </c>
      <c r="G53" s="11">
        <v>620</v>
      </c>
      <c r="H53" s="11">
        <f t="shared" si="1"/>
        <v>4960</v>
      </c>
    </row>
    <row r="54" spans="1:8" x14ac:dyDescent="0.25">
      <c r="A54" s="9" t="s">
        <v>114</v>
      </c>
      <c r="B54" s="10">
        <v>46214</v>
      </c>
      <c r="C54" s="9" t="s">
        <v>58</v>
      </c>
      <c r="D54" s="9" t="s">
        <v>61</v>
      </c>
      <c r="E54" s="9" t="s">
        <v>64</v>
      </c>
      <c r="F54" s="9">
        <v>5</v>
      </c>
      <c r="G54" s="11">
        <v>450</v>
      </c>
      <c r="H54" s="11">
        <f t="shared" si="1"/>
        <v>2250</v>
      </c>
    </row>
    <row r="55" spans="1:8" x14ac:dyDescent="0.25">
      <c r="A55" s="9" t="s">
        <v>115</v>
      </c>
      <c r="B55" s="10">
        <v>46214</v>
      </c>
      <c r="C55" s="9" t="s">
        <v>58</v>
      </c>
      <c r="D55" s="9" t="s">
        <v>61</v>
      </c>
      <c r="E55" s="9" t="s">
        <v>64</v>
      </c>
      <c r="F55" s="9">
        <v>3</v>
      </c>
      <c r="G55" s="11">
        <v>450</v>
      </c>
      <c r="H55" s="11">
        <f t="shared" si="1"/>
        <v>1350</v>
      </c>
    </row>
    <row r="56" spans="1:8" x14ac:dyDescent="0.25">
      <c r="A56" s="9" t="s">
        <v>116</v>
      </c>
      <c r="B56" s="10">
        <v>46214</v>
      </c>
      <c r="C56" s="9" t="s">
        <v>46</v>
      </c>
      <c r="D56" s="9" t="s">
        <v>52</v>
      </c>
      <c r="E56" s="9" t="s">
        <v>76</v>
      </c>
      <c r="F56" s="9">
        <v>8</v>
      </c>
      <c r="G56" s="11">
        <v>1599</v>
      </c>
      <c r="H56" s="11">
        <f t="shared" si="1"/>
        <v>12792</v>
      </c>
    </row>
    <row r="57" spans="1:8" x14ac:dyDescent="0.25">
      <c r="A57" s="9" t="s">
        <v>117</v>
      </c>
      <c r="B57" s="10">
        <v>46214</v>
      </c>
      <c r="C57" s="9" t="s">
        <v>41</v>
      </c>
      <c r="D57" s="9" t="s">
        <v>52</v>
      </c>
      <c r="E57" s="9" t="s">
        <v>53</v>
      </c>
      <c r="F57" s="9">
        <v>2</v>
      </c>
      <c r="G57" s="11">
        <v>1200</v>
      </c>
      <c r="H57" s="11">
        <f t="shared" si="1"/>
        <v>2400</v>
      </c>
    </row>
    <row r="58" spans="1:8" x14ac:dyDescent="0.25">
      <c r="A58" s="9" t="s">
        <v>118</v>
      </c>
      <c r="B58" s="10">
        <v>46215</v>
      </c>
      <c r="C58" s="9" t="s">
        <v>41</v>
      </c>
      <c r="D58" s="9" t="s">
        <v>52</v>
      </c>
      <c r="E58" s="9" t="s">
        <v>59</v>
      </c>
      <c r="F58" s="9">
        <v>8</v>
      </c>
      <c r="G58" s="11">
        <v>899</v>
      </c>
      <c r="H58" s="11">
        <f t="shared" si="1"/>
        <v>7192</v>
      </c>
    </row>
    <row r="59" spans="1:8" x14ac:dyDescent="0.25">
      <c r="A59" s="9" t="s">
        <v>119</v>
      </c>
      <c r="B59" s="10">
        <v>46215</v>
      </c>
      <c r="C59" s="9" t="s">
        <v>58</v>
      </c>
      <c r="D59" s="9" t="s">
        <v>42</v>
      </c>
      <c r="E59" s="9" t="s">
        <v>78</v>
      </c>
      <c r="F59" s="9">
        <v>1</v>
      </c>
      <c r="G59" s="11">
        <v>3200</v>
      </c>
      <c r="H59" s="11">
        <f t="shared" si="1"/>
        <v>3200</v>
      </c>
    </row>
    <row r="60" spans="1:8" x14ac:dyDescent="0.25">
      <c r="A60" s="9" t="s">
        <v>120</v>
      </c>
      <c r="B60" s="10">
        <v>46215</v>
      </c>
      <c r="C60" s="9" t="s">
        <v>58</v>
      </c>
      <c r="D60" s="9" t="s">
        <v>42</v>
      </c>
      <c r="E60" s="9" t="s">
        <v>43</v>
      </c>
      <c r="F60" s="9">
        <v>10</v>
      </c>
      <c r="G60" s="11">
        <v>350</v>
      </c>
      <c r="H60" s="11">
        <f t="shared" si="1"/>
        <v>3500</v>
      </c>
    </row>
    <row r="61" spans="1:8" x14ac:dyDescent="0.25">
      <c r="A61" s="9" t="s">
        <v>121</v>
      </c>
      <c r="B61" s="10">
        <v>46215</v>
      </c>
      <c r="C61" s="9" t="s">
        <v>48</v>
      </c>
      <c r="D61" s="9" t="s">
        <v>52</v>
      </c>
      <c r="E61" s="9" t="s">
        <v>53</v>
      </c>
      <c r="F61" s="9">
        <v>3</v>
      </c>
      <c r="G61" s="11">
        <v>1200</v>
      </c>
      <c r="H61" s="11">
        <f t="shared" si="1"/>
        <v>3600</v>
      </c>
    </row>
    <row r="62" spans="1:8" x14ac:dyDescent="0.25">
      <c r="A62" s="9" t="s">
        <v>122</v>
      </c>
      <c r="B62" s="10">
        <v>46215</v>
      </c>
      <c r="C62" s="9" t="s">
        <v>41</v>
      </c>
      <c r="D62" s="9" t="s">
        <v>61</v>
      </c>
      <c r="E62" s="9" t="s">
        <v>64</v>
      </c>
      <c r="F62" s="9">
        <v>12</v>
      </c>
      <c r="G62" s="11">
        <v>450</v>
      </c>
      <c r="H62" s="11">
        <f t="shared" si="1"/>
        <v>5400</v>
      </c>
    </row>
    <row r="63" spans="1:8" x14ac:dyDescent="0.25">
      <c r="A63" s="9" t="s">
        <v>123</v>
      </c>
      <c r="B63" s="10">
        <v>46216</v>
      </c>
      <c r="C63" s="9" t="s">
        <v>41</v>
      </c>
      <c r="D63" s="9" t="s">
        <v>49</v>
      </c>
      <c r="E63" s="9" t="s">
        <v>67</v>
      </c>
      <c r="F63" s="9">
        <v>5</v>
      </c>
      <c r="G63" s="11">
        <v>2500</v>
      </c>
      <c r="H63" s="11">
        <f t="shared" si="1"/>
        <v>12500</v>
      </c>
    </row>
    <row r="64" spans="1:8" x14ac:dyDescent="0.25">
      <c r="A64" s="9" t="s">
        <v>124</v>
      </c>
      <c r="B64" s="10">
        <v>46216</v>
      </c>
      <c r="C64" s="9" t="s">
        <v>41</v>
      </c>
      <c r="D64" s="9" t="s">
        <v>42</v>
      </c>
      <c r="E64" s="9" t="s">
        <v>71</v>
      </c>
      <c r="F64" s="9">
        <v>10</v>
      </c>
      <c r="G64" s="11">
        <v>899</v>
      </c>
      <c r="H64" s="11">
        <f t="shared" si="1"/>
        <v>8990</v>
      </c>
    </row>
    <row r="65" spans="1:8" x14ac:dyDescent="0.25">
      <c r="A65" s="9" t="s">
        <v>125</v>
      </c>
      <c r="B65" s="10">
        <v>46216</v>
      </c>
      <c r="C65" s="9" t="s">
        <v>46</v>
      </c>
      <c r="D65" s="9" t="s">
        <v>52</v>
      </c>
      <c r="E65" s="9" t="s">
        <v>59</v>
      </c>
      <c r="F65" s="9">
        <v>3</v>
      </c>
      <c r="G65" s="11">
        <v>899</v>
      </c>
      <c r="H65" s="11">
        <f t="shared" si="1"/>
        <v>2697</v>
      </c>
    </row>
    <row r="66" spans="1:8" x14ac:dyDescent="0.25">
      <c r="A66" s="9" t="s">
        <v>126</v>
      </c>
      <c r="B66" s="10">
        <v>46216</v>
      </c>
      <c r="C66" s="9" t="s">
        <v>48</v>
      </c>
      <c r="D66" s="9" t="s">
        <v>55</v>
      </c>
      <c r="E66" s="9" t="s">
        <v>109</v>
      </c>
      <c r="F66" s="9">
        <v>3</v>
      </c>
      <c r="G66" s="11">
        <v>320</v>
      </c>
      <c r="H66" s="11">
        <f t="shared" si="1"/>
        <v>960</v>
      </c>
    </row>
    <row r="67" spans="1:8" x14ac:dyDescent="0.25">
      <c r="A67" s="9" t="s">
        <v>127</v>
      </c>
      <c r="B67" s="10">
        <v>46216</v>
      </c>
      <c r="C67" s="9" t="s">
        <v>46</v>
      </c>
      <c r="D67" s="9" t="s">
        <v>49</v>
      </c>
      <c r="E67" s="9" t="s">
        <v>50</v>
      </c>
      <c r="F67" s="9">
        <v>9</v>
      </c>
      <c r="G67" s="11">
        <v>1800</v>
      </c>
      <c r="H67" s="11">
        <f t="shared" si="1"/>
        <v>16200</v>
      </c>
    </row>
    <row r="68" spans="1:8" x14ac:dyDescent="0.25">
      <c r="A68" s="9" t="s">
        <v>128</v>
      </c>
      <c r="B68" s="10">
        <v>46216</v>
      </c>
      <c r="C68" s="9" t="s">
        <v>58</v>
      </c>
      <c r="D68" s="9" t="s">
        <v>42</v>
      </c>
      <c r="E68" s="9" t="s">
        <v>71</v>
      </c>
      <c r="F68" s="9">
        <v>12</v>
      </c>
      <c r="G68" s="11">
        <v>899</v>
      </c>
      <c r="H68" s="11">
        <f t="shared" si="1"/>
        <v>10788</v>
      </c>
    </row>
    <row r="69" spans="1:8" x14ac:dyDescent="0.25">
      <c r="A69" s="9" t="s">
        <v>129</v>
      </c>
      <c r="B69" s="10">
        <v>46217</v>
      </c>
      <c r="C69" s="9" t="s">
        <v>48</v>
      </c>
      <c r="D69" s="9" t="s">
        <v>49</v>
      </c>
      <c r="E69" s="9" t="s">
        <v>50</v>
      </c>
      <c r="F69" s="9">
        <v>9</v>
      </c>
      <c r="G69" s="11">
        <v>1800</v>
      </c>
      <c r="H69" s="11">
        <f t="shared" ref="H69:H100" si="2">F69*G69</f>
        <v>16200</v>
      </c>
    </row>
    <row r="70" spans="1:8" x14ac:dyDescent="0.25">
      <c r="A70" s="9" t="s">
        <v>130</v>
      </c>
      <c r="B70" s="10">
        <v>46217</v>
      </c>
      <c r="C70" s="9" t="s">
        <v>48</v>
      </c>
      <c r="D70" s="9" t="s">
        <v>55</v>
      </c>
      <c r="E70" s="9" t="s">
        <v>109</v>
      </c>
      <c r="F70" s="9">
        <v>4</v>
      </c>
      <c r="G70" s="11">
        <v>320</v>
      </c>
      <c r="H70" s="11">
        <f t="shared" si="2"/>
        <v>1280</v>
      </c>
    </row>
    <row r="71" spans="1:8" x14ac:dyDescent="0.25">
      <c r="A71" s="9" t="s">
        <v>131</v>
      </c>
      <c r="B71" s="10">
        <v>46217</v>
      </c>
      <c r="C71" s="9" t="s">
        <v>46</v>
      </c>
      <c r="D71" s="9" t="s">
        <v>61</v>
      </c>
      <c r="E71" s="9" t="s">
        <v>62</v>
      </c>
      <c r="F71" s="9">
        <v>10</v>
      </c>
      <c r="G71" s="11">
        <v>1899</v>
      </c>
      <c r="H71" s="11">
        <f t="shared" si="2"/>
        <v>18990</v>
      </c>
    </row>
    <row r="72" spans="1:8" x14ac:dyDescent="0.25">
      <c r="A72" s="9" t="s">
        <v>132</v>
      </c>
      <c r="B72" s="10">
        <v>46217</v>
      </c>
      <c r="C72" s="9" t="s">
        <v>48</v>
      </c>
      <c r="D72" s="9" t="s">
        <v>42</v>
      </c>
      <c r="E72" s="9" t="s">
        <v>43</v>
      </c>
      <c r="F72" s="9">
        <v>9</v>
      </c>
      <c r="G72" s="11">
        <v>350</v>
      </c>
      <c r="H72" s="11">
        <f t="shared" si="2"/>
        <v>3150</v>
      </c>
    </row>
    <row r="73" spans="1:8" x14ac:dyDescent="0.25">
      <c r="A73" s="9" t="s">
        <v>133</v>
      </c>
      <c r="B73" s="10">
        <v>46217</v>
      </c>
      <c r="C73" s="9" t="s">
        <v>46</v>
      </c>
      <c r="D73" s="9" t="s">
        <v>42</v>
      </c>
      <c r="E73" s="9" t="s">
        <v>71</v>
      </c>
      <c r="F73" s="9">
        <v>4</v>
      </c>
      <c r="G73" s="11">
        <v>899</v>
      </c>
      <c r="H73" s="11">
        <f t="shared" si="2"/>
        <v>3596</v>
      </c>
    </row>
    <row r="74" spans="1:8" x14ac:dyDescent="0.25">
      <c r="A74" s="9" t="s">
        <v>134</v>
      </c>
      <c r="B74" s="10">
        <v>46217</v>
      </c>
      <c r="C74" s="9" t="s">
        <v>46</v>
      </c>
      <c r="D74" s="9" t="s">
        <v>52</v>
      </c>
      <c r="E74" s="9" t="s">
        <v>59</v>
      </c>
      <c r="F74" s="9">
        <v>11</v>
      </c>
      <c r="G74" s="11">
        <v>899</v>
      </c>
      <c r="H74" s="11">
        <f t="shared" si="2"/>
        <v>9889</v>
      </c>
    </row>
    <row r="75" spans="1:8" x14ac:dyDescent="0.25">
      <c r="A75" s="9" t="s">
        <v>135</v>
      </c>
      <c r="B75" s="10">
        <v>46218</v>
      </c>
      <c r="C75" s="9" t="s">
        <v>46</v>
      </c>
      <c r="D75" s="9" t="s">
        <v>49</v>
      </c>
      <c r="E75" s="9" t="s">
        <v>50</v>
      </c>
      <c r="F75" s="9">
        <v>9</v>
      </c>
      <c r="G75" s="11">
        <v>1800</v>
      </c>
      <c r="H75" s="11">
        <f t="shared" si="2"/>
        <v>16200</v>
      </c>
    </row>
    <row r="76" spans="1:8" x14ac:dyDescent="0.25">
      <c r="A76" s="9" t="s">
        <v>136</v>
      </c>
      <c r="B76" s="10">
        <v>46218</v>
      </c>
      <c r="C76" s="9" t="s">
        <v>48</v>
      </c>
      <c r="D76" s="9" t="s">
        <v>52</v>
      </c>
      <c r="E76" s="9" t="s">
        <v>53</v>
      </c>
      <c r="F76" s="9">
        <v>5</v>
      </c>
      <c r="G76" s="11">
        <v>1200</v>
      </c>
      <c r="H76" s="11">
        <f t="shared" si="2"/>
        <v>6000</v>
      </c>
    </row>
    <row r="77" spans="1:8" x14ac:dyDescent="0.25">
      <c r="A77" s="9" t="s">
        <v>137</v>
      </c>
      <c r="B77" s="10">
        <v>46218</v>
      </c>
      <c r="C77" s="9" t="s">
        <v>46</v>
      </c>
      <c r="D77" s="9" t="s">
        <v>52</v>
      </c>
      <c r="E77" s="9" t="s">
        <v>53</v>
      </c>
      <c r="F77" s="9">
        <v>11</v>
      </c>
      <c r="G77" s="11">
        <v>1200</v>
      </c>
      <c r="H77" s="11">
        <f t="shared" si="2"/>
        <v>13200</v>
      </c>
    </row>
    <row r="78" spans="1:8" x14ac:dyDescent="0.25">
      <c r="A78" s="9" t="s">
        <v>138</v>
      </c>
      <c r="B78" s="10">
        <v>46218</v>
      </c>
      <c r="C78" s="9" t="s">
        <v>48</v>
      </c>
      <c r="D78" s="9" t="s">
        <v>52</v>
      </c>
      <c r="E78" s="9" t="s">
        <v>76</v>
      </c>
      <c r="F78" s="9">
        <v>11</v>
      </c>
      <c r="G78" s="11">
        <v>1599</v>
      </c>
      <c r="H78" s="11">
        <f t="shared" si="2"/>
        <v>17589</v>
      </c>
    </row>
    <row r="79" spans="1:8" x14ac:dyDescent="0.25">
      <c r="A79" s="9" t="s">
        <v>139</v>
      </c>
      <c r="B79" s="10">
        <v>46218</v>
      </c>
      <c r="C79" s="9" t="s">
        <v>58</v>
      </c>
      <c r="D79" s="9" t="s">
        <v>42</v>
      </c>
      <c r="E79" s="9" t="s">
        <v>71</v>
      </c>
      <c r="F79" s="9">
        <v>9</v>
      </c>
      <c r="G79" s="11">
        <v>899</v>
      </c>
      <c r="H79" s="11">
        <f t="shared" si="2"/>
        <v>8091</v>
      </c>
    </row>
    <row r="80" spans="1:8" x14ac:dyDescent="0.25">
      <c r="A80" s="9" t="s">
        <v>140</v>
      </c>
      <c r="B80" s="10">
        <v>46218</v>
      </c>
      <c r="C80" s="9" t="s">
        <v>48</v>
      </c>
      <c r="D80" s="9" t="s">
        <v>61</v>
      </c>
      <c r="E80" s="9" t="s">
        <v>91</v>
      </c>
      <c r="F80" s="9">
        <v>2</v>
      </c>
      <c r="G80" s="11">
        <v>620</v>
      </c>
      <c r="H80" s="11">
        <f t="shared" si="2"/>
        <v>1240</v>
      </c>
    </row>
    <row r="81" spans="1:8" x14ac:dyDescent="0.25">
      <c r="A81" s="9" t="s">
        <v>141</v>
      </c>
      <c r="B81" s="10">
        <v>46218</v>
      </c>
      <c r="C81" s="9" t="s">
        <v>46</v>
      </c>
      <c r="D81" s="9" t="s">
        <v>55</v>
      </c>
      <c r="E81" s="9" t="s">
        <v>56</v>
      </c>
      <c r="F81" s="9">
        <v>11</v>
      </c>
      <c r="G81" s="11">
        <v>150</v>
      </c>
      <c r="H81" s="11">
        <f t="shared" si="2"/>
        <v>1650</v>
      </c>
    </row>
    <row r="82" spans="1:8" x14ac:dyDescent="0.25">
      <c r="A82" s="9" t="s">
        <v>142</v>
      </c>
      <c r="B82" s="10">
        <v>46219</v>
      </c>
      <c r="C82" s="9" t="s">
        <v>58</v>
      </c>
      <c r="D82" s="9" t="s">
        <v>49</v>
      </c>
      <c r="E82" s="9" t="s">
        <v>74</v>
      </c>
      <c r="F82" s="9">
        <v>11</v>
      </c>
      <c r="G82" s="11">
        <v>3400</v>
      </c>
      <c r="H82" s="11">
        <f t="shared" si="2"/>
        <v>37400</v>
      </c>
    </row>
    <row r="83" spans="1:8" x14ac:dyDescent="0.25">
      <c r="A83" s="9" t="s">
        <v>143</v>
      </c>
      <c r="B83" s="10">
        <v>46219</v>
      </c>
      <c r="C83" s="9" t="s">
        <v>48</v>
      </c>
      <c r="D83" s="9" t="s">
        <v>55</v>
      </c>
      <c r="E83" s="9" t="s">
        <v>86</v>
      </c>
      <c r="F83" s="9">
        <v>12</v>
      </c>
      <c r="G83" s="11">
        <v>90</v>
      </c>
      <c r="H83" s="11">
        <f t="shared" si="2"/>
        <v>1080</v>
      </c>
    </row>
    <row r="84" spans="1:8" x14ac:dyDescent="0.25">
      <c r="A84" s="9" t="s">
        <v>144</v>
      </c>
      <c r="B84" s="10">
        <v>46219</v>
      </c>
      <c r="C84" s="9" t="s">
        <v>58</v>
      </c>
      <c r="D84" s="9" t="s">
        <v>49</v>
      </c>
      <c r="E84" s="9" t="s">
        <v>67</v>
      </c>
      <c r="F84" s="9">
        <v>1</v>
      </c>
      <c r="G84" s="11">
        <v>2500</v>
      </c>
      <c r="H84" s="11">
        <f t="shared" si="2"/>
        <v>2500</v>
      </c>
    </row>
    <row r="85" spans="1:8" x14ac:dyDescent="0.25">
      <c r="A85" s="9" t="s">
        <v>145</v>
      </c>
      <c r="B85" s="10">
        <v>46219</v>
      </c>
      <c r="C85" s="9" t="s">
        <v>58</v>
      </c>
      <c r="D85" s="9" t="s">
        <v>55</v>
      </c>
      <c r="E85" s="9" t="s">
        <v>109</v>
      </c>
      <c r="F85" s="9">
        <v>12</v>
      </c>
      <c r="G85" s="11">
        <v>320</v>
      </c>
      <c r="H85" s="11">
        <f t="shared" si="2"/>
        <v>3840</v>
      </c>
    </row>
    <row r="86" spans="1:8" x14ac:dyDescent="0.25">
      <c r="A86" s="9" t="s">
        <v>146</v>
      </c>
      <c r="B86" s="10">
        <v>46219</v>
      </c>
      <c r="C86" s="9" t="s">
        <v>48</v>
      </c>
      <c r="D86" s="9" t="s">
        <v>52</v>
      </c>
      <c r="E86" s="9" t="s">
        <v>59</v>
      </c>
      <c r="F86" s="9">
        <v>6</v>
      </c>
      <c r="G86" s="11">
        <v>899</v>
      </c>
      <c r="H86" s="11">
        <f t="shared" si="2"/>
        <v>5394</v>
      </c>
    </row>
    <row r="87" spans="1:8" x14ac:dyDescent="0.25">
      <c r="A87" s="9" t="s">
        <v>147</v>
      </c>
      <c r="B87" s="10">
        <v>46219</v>
      </c>
      <c r="C87" s="9" t="s">
        <v>48</v>
      </c>
      <c r="D87" s="9" t="s">
        <v>61</v>
      </c>
      <c r="E87" s="9" t="s">
        <v>91</v>
      </c>
      <c r="F87" s="9">
        <v>4</v>
      </c>
      <c r="G87" s="11">
        <v>620</v>
      </c>
      <c r="H87" s="11">
        <f t="shared" si="2"/>
        <v>2480</v>
      </c>
    </row>
    <row r="88" spans="1:8" x14ac:dyDescent="0.25">
      <c r="A88" s="9" t="s">
        <v>148</v>
      </c>
      <c r="B88" s="10">
        <v>46219</v>
      </c>
      <c r="C88" s="9" t="s">
        <v>48</v>
      </c>
      <c r="D88" s="9" t="s">
        <v>42</v>
      </c>
      <c r="E88" s="9" t="s">
        <v>43</v>
      </c>
      <c r="F88" s="9">
        <v>7</v>
      </c>
      <c r="G88" s="11">
        <v>350</v>
      </c>
      <c r="H88" s="11">
        <f t="shared" si="2"/>
        <v>2450</v>
      </c>
    </row>
    <row r="89" spans="1:8" x14ac:dyDescent="0.25">
      <c r="A89" s="9" t="s">
        <v>149</v>
      </c>
      <c r="B89" s="10">
        <v>46219</v>
      </c>
      <c r="C89" s="9" t="s">
        <v>58</v>
      </c>
      <c r="D89" s="9" t="s">
        <v>42</v>
      </c>
      <c r="E89" s="9" t="s">
        <v>43</v>
      </c>
      <c r="F89" s="9">
        <v>8</v>
      </c>
      <c r="G89" s="11">
        <v>350</v>
      </c>
      <c r="H89" s="11">
        <f t="shared" si="2"/>
        <v>2800</v>
      </c>
    </row>
    <row r="90" spans="1:8" x14ac:dyDescent="0.25">
      <c r="A90" s="9" t="s">
        <v>150</v>
      </c>
      <c r="B90" s="10">
        <v>46220</v>
      </c>
      <c r="C90" s="9" t="s">
        <v>48</v>
      </c>
      <c r="D90" s="9" t="s">
        <v>61</v>
      </c>
      <c r="E90" s="9" t="s">
        <v>62</v>
      </c>
      <c r="F90" s="9">
        <v>7</v>
      </c>
      <c r="G90" s="11">
        <v>1899</v>
      </c>
      <c r="H90" s="11">
        <f t="shared" si="2"/>
        <v>13293</v>
      </c>
    </row>
    <row r="91" spans="1:8" x14ac:dyDescent="0.25">
      <c r="A91" s="9" t="s">
        <v>151</v>
      </c>
      <c r="B91" s="10">
        <v>46220</v>
      </c>
      <c r="C91" s="9" t="s">
        <v>58</v>
      </c>
      <c r="D91" s="9" t="s">
        <v>42</v>
      </c>
      <c r="E91" s="9" t="s">
        <v>43</v>
      </c>
      <c r="F91" s="9">
        <v>3</v>
      </c>
      <c r="G91" s="11">
        <v>350</v>
      </c>
      <c r="H91" s="11">
        <f t="shared" si="2"/>
        <v>1050</v>
      </c>
    </row>
    <row r="92" spans="1:8" x14ac:dyDescent="0.25">
      <c r="A92" s="9" t="s">
        <v>152</v>
      </c>
      <c r="B92" s="10">
        <v>46220</v>
      </c>
      <c r="C92" s="9" t="s">
        <v>41</v>
      </c>
      <c r="D92" s="9" t="s">
        <v>42</v>
      </c>
      <c r="E92" s="9" t="s">
        <v>78</v>
      </c>
      <c r="F92" s="9">
        <v>1</v>
      </c>
      <c r="G92" s="11">
        <v>3200</v>
      </c>
      <c r="H92" s="11">
        <f t="shared" si="2"/>
        <v>3200</v>
      </c>
    </row>
    <row r="93" spans="1:8" x14ac:dyDescent="0.25">
      <c r="A93" s="9" t="s">
        <v>153</v>
      </c>
      <c r="B93" s="10">
        <v>46220</v>
      </c>
      <c r="C93" s="9" t="s">
        <v>46</v>
      </c>
      <c r="D93" s="9" t="s">
        <v>42</v>
      </c>
      <c r="E93" s="9" t="s">
        <v>71</v>
      </c>
      <c r="F93" s="9">
        <v>12</v>
      </c>
      <c r="G93" s="11">
        <v>899</v>
      </c>
      <c r="H93" s="11">
        <f t="shared" si="2"/>
        <v>10788</v>
      </c>
    </row>
    <row r="94" spans="1:8" x14ac:dyDescent="0.25">
      <c r="A94" s="9" t="s">
        <v>154</v>
      </c>
      <c r="B94" s="10">
        <v>46220</v>
      </c>
      <c r="C94" s="9" t="s">
        <v>46</v>
      </c>
      <c r="D94" s="9" t="s">
        <v>52</v>
      </c>
      <c r="E94" s="9" t="s">
        <v>59</v>
      </c>
      <c r="F94" s="9">
        <v>8</v>
      </c>
      <c r="G94" s="11">
        <v>899</v>
      </c>
      <c r="H94" s="11">
        <f t="shared" si="2"/>
        <v>7192</v>
      </c>
    </row>
    <row r="95" spans="1:8" x14ac:dyDescent="0.25">
      <c r="A95" s="9" t="s">
        <v>155</v>
      </c>
      <c r="B95" s="10">
        <v>46220</v>
      </c>
      <c r="C95" s="9" t="s">
        <v>46</v>
      </c>
      <c r="D95" s="9" t="s">
        <v>61</v>
      </c>
      <c r="E95" s="9" t="s">
        <v>64</v>
      </c>
      <c r="F95" s="9">
        <v>5</v>
      </c>
      <c r="G95" s="11">
        <v>450</v>
      </c>
      <c r="H95" s="11">
        <f t="shared" si="2"/>
        <v>2250</v>
      </c>
    </row>
    <row r="96" spans="1:8" x14ac:dyDescent="0.25">
      <c r="A96" s="9" t="s">
        <v>156</v>
      </c>
      <c r="B96" s="10">
        <v>46220</v>
      </c>
      <c r="C96" s="9" t="s">
        <v>48</v>
      </c>
      <c r="D96" s="9" t="s">
        <v>52</v>
      </c>
      <c r="E96" s="9" t="s">
        <v>53</v>
      </c>
      <c r="F96" s="9">
        <v>9</v>
      </c>
      <c r="G96" s="11">
        <v>1200</v>
      </c>
      <c r="H96" s="11">
        <f t="shared" si="2"/>
        <v>10800</v>
      </c>
    </row>
    <row r="97" spans="1:8" x14ac:dyDescent="0.25">
      <c r="A97" s="9" t="s">
        <v>157</v>
      </c>
      <c r="B97" s="10">
        <v>46220</v>
      </c>
      <c r="C97" s="9" t="s">
        <v>48</v>
      </c>
      <c r="D97" s="9" t="s">
        <v>49</v>
      </c>
      <c r="E97" s="9" t="s">
        <v>67</v>
      </c>
      <c r="F97" s="9">
        <v>2</v>
      </c>
      <c r="G97" s="11">
        <v>2500</v>
      </c>
      <c r="H97" s="11">
        <f t="shared" si="2"/>
        <v>5000</v>
      </c>
    </row>
    <row r="98" spans="1:8" x14ac:dyDescent="0.25">
      <c r="A98" s="9" t="s">
        <v>158</v>
      </c>
      <c r="B98" s="10">
        <v>46221</v>
      </c>
      <c r="C98" s="9" t="s">
        <v>58</v>
      </c>
      <c r="D98" s="9" t="s">
        <v>42</v>
      </c>
      <c r="E98" s="9" t="s">
        <v>43</v>
      </c>
      <c r="F98" s="9">
        <v>4</v>
      </c>
      <c r="G98" s="11">
        <v>350</v>
      </c>
      <c r="H98" s="11">
        <f t="shared" si="2"/>
        <v>1400</v>
      </c>
    </row>
    <row r="99" spans="1:8" x14ac:dyDescent="0.25">
      <c r="A99" s="9" t="s">
        <v>159</v>
      </c>
      <c r="B99" s="10">
        <v>46221</v>
      </c>
      <c r="C99" s="9" t="s">
        <v>46</v>
      </c>
      <c r="D99" s="9" t="s">
        <v>42</v>
      </c>
      <c r="E99" s="9" t="s">
        <v>71</v>
      </c>
      <c r="F99" s="9">
        <v>3</v>
      </c>
      <c r="G99" s="11">
        <v>899</v>
      </c>
      <c r="H99" s="11">
        <f t="shared" si="2"/>
        <v>2697</v>
      </c>
    </row>
    <row r="100" spans="1:8" x14ac:dyDescent="0.25">
      <c r="A100" s="9" t="s">
        <v>160</v>
      </c>
      <c r="B100" s="10">
        <v>46221</v>
      </c>
      <c r="C100" s="9" t="s">
        <v>48</v>
      </c>
      <c r="D100" s="9" t="s">
        <v>61</v>
      </c>
      <c r="E100" s="9" t="s">
        <v>91</v>
      </c>
      <c r="F100" s="9">
        <v>10</v>
      </c>
      <c r="G100" s="11">
        <v>620</v>
      </c>
      <c r="H100" s="11">
        <f t="shared" si="2"/>
        <v>6200</v>
      </c>
    </row>
    <row r="101" spans="1:8" x14ac:dyDescent="0.25">
      <c r="A101" s="9" t="s">
        <v>161</v>
      </c>
      <c r="B101" s="10">
        <v>46221</v>
      </c>
      <c r="C101" s="9" t="s">
        <v>48</v>
      </c>
      <c r="D101" s="9" t="s">
        <v>52</v>
      </c>
      <c r="E101" s="9" t="s">
        <v>59</v>
      </c>
      <c r="F101" s="9">
        <v>8</v>
      </c>
      <c r="G101" s="11">
        <v>899</v>
      </c>
      <c r="H101" s="11">
        <f t="shared" ref="H101:H132" si="3">F101*G101</f>
        <v>7192</v>
      </c>
    </row>
    <row r="102" spans="1:8" x14ac:dyDescent="0.25">
      <c r="A102" s="9" t="s">
        <v>162</v>
      </c>
      <c r="B102" s="10">
        <v>46221</v>
      </c>
      <c r="C102" s="9" t="s">
        <v>46</v>
      </c>
      <c r="D102" s="9" t="s">
        <v>61</v>
      </c>
      <c r="E102" s="9" t="s">
        <v>64</v>
      </c>
      <c r="F102" s="9">
        <v>1</v>
      </c>
      <c r="G102" s="11">
        <v>450</v>
      </c>
      <c r="H102" s="11">
        <f t="shared" si="3"/>
        <v>450</v>
      </c>
    </row>
    <row r="103" spans="1:8" x14ac:dyDescent="0.25">
      <c r="A103" s="9" t="s">
        <v>163</v>
      </c>
      <c r="B103" s="10">
        <v>46221</v>
      </c>
      <c r="C103" s="9" t="s">
        <v>48</v>
      </c>
      <c r="D103" s="9" t="s">
        <v>52</v>
      </c>
      <c r="E103" s="9" t="s">
        <v>76</v>
      </c>
      <c r="F103" s="9">
        <v>6</v>
      </c>
      <c r="G103" s="11">
        <v>1599</v>
      </c>
      <c r="H103" s="11">
        <f t="shared" si="3"/>
        <v>9594</v>
      </c>
    </row>
    <row r="104" spans="1:8" x14ac:dyDescent="0.25">
      <c r="A104" s="9" t="s">
        <v>164</v>
      </c>
      <c r="B104" s="10">
        <v>46221</v>
      </c>
      <c r="C104" s="9" t="s">
        <v>46</v>
      </c>
      <c r="D104" s="9" t="s">
        <v>49</v>
      </c>
      <c r="E104" s="9" t="s">
        <v>74</v>
      </c>
      <c r="F104" s="9">
        <v>11</v>
      </c>
      <c r="G104" s="11">
        <v>3400</v>
      </c>
      <c r="H104" s="11">
        <f t="shared" si="3"/>
        <v>37400</v>
      </c>
    </row>
    <row r="105" spans="1:8" x14ac:dyDescent="0.25">
      <c r="A105" s="9" t="s">
        <v>165</v>
      </c>
      <c r="B105" s="10">
        <v>46222</v>
      </c>
      <c r="C105" s="9" t="s">
        <v>46</v>
      </c>
      <c r="D105" s="9" t="s">
        <v>52</v>
      </c>
      <c r="E105" s="9" t="s">
        <v>76</v>
      </c>
      <c r="F105" s="9">
        <v>10</v>
      </c>
      <c r="G105" s="11">
        <v>1599</v>
      </c>
      <c r="H105" s="11">
        <f t="shared" si="3"/>
        <v>15990</v>
      </c>
    </row>
    <row r="106" spans="1:8" x14ac:dyDescent="0.25">
      <c r="A106" s="9" t="s">
        <v>166</v>
      </c>
      <c r="B106" s="10">
        <v>46222</v>
      </c>
      <c r="C106" s="9" t="s">
        <v>48</v>
      </c>
      <c r="D106" s="9" t="s">
        <v>42</v>
      </c>
      <c r="E106" s="9" t="s">
        <v>71</v>
      </c>
      <c r="F106" s="9">
        <v>2</v>
      </c>
      <c r="G106" s="11">
        <v>899</v>
      </c>
      <c r="H106" s="11">
        <f t="shared" si="3"/>
        <v>1798</v>
      </c>
    </row>
    <row r="107" spans="1:8" x14ac:dyDescent="0.25">
      <c r="A107" s="9" t="s">
        <v>167</v>
      </c>
      <c r="B107" s="10">
        <v>46222</v>
      </c>
      <c r="C107" s="9" t="s">
        <v>41</v>
      </c>
      <c r="D107" s="9" t="s">
        <v>49</v>
      </c>
      <c r="E107" s="9" t="s">
        <v>74</v>
      </c>
      <c r="F107" s="9">
        <v>6</v>
      </c>
      <c r="G107" s="11">
        <v>3400</v>
      </c>
      <c r="H107" s="11">
        <f t="shared" si="3"/>
        <v>20400</v>
      </c>
    </row>
    <row r="108" spans="1:8" x14ac:dyDescent="0.25">
      <c r="A108" s="9" t="s">
        <v>168</v>
      </c>
      <c r="B108" s="10">
        <v>46222</v>
      </c>
      <c r="C108" s="9" t="s">
        <v>58</v>
      </c>
      <c r="D108" s="9" t="s">
        <v>42</v>
      </c>
      <c r="E108" s="9" t="s">
        <v>43</v>
      </c>
      <c r="F108" s="9">
        <v>1</v>
      </c>
      <c r="G108" s="11">
        <v>350</v>
      </c>
      <c r="H108" s="11">
        <f t="shared" si="3"/>
        <v>350</v>
      </c>
    </row>
    <row r="109" spans="1:8" x14ac:dyDescent="0.25">
      <c r="A109" s="9" t="s">
        <v>169</v>
      </c>
      <c r="B109" s="10">
        <v>46222</v>
      </c>
      <c r="C109" s="9" t="s">
        <v>46</v>
      </c>
      <c r="D109" s="9" t="s">
        <v>42</v>
      </c>
      <c r="E109" s="9" t="s">
        <v>71</v>
      </c>
      <c r="F109" s="9">
        <v>1</v>
      </c>
      <c r="G109" s="11">
        <v>899</v>
      </c>
      <c r="H109" s="11">
        <f t="shared" si="3"/>
        <v>899</v>
      </c>
    </row>
    <row r="110" spans="1:8" x14ac:dyDescent="0.25">
      <c r="A110" s="9" t="s">
        <v>170</v>
      </c>
      <c r="B110" s="10">
        <v>46222</v>
      </c>
      <c r="C110" s="9" t="s">
        <v>46</v>
      </c>
      <c r="D110" s="9" t="s">
        <v>61</v>
      </c>
      <c r="E110" s="9" t="s">
        <v>62</v>
      </c>
      <c r="F110" s="9">
        <v>8</v>
      </c>
      <c r="G110" s="11">
        <v>1899</v>
      </c>
      <c r="H110" s="11">
        <f t="shared" si="3"/>
        <v>15192</v>
      </c>
    </row>
    <row r="111" spans="1:8" x14ac:dyDescent="0.25">
      <c r="A111" s="9" t="s">
        <v>171</v>
      </c>
      <c r="B111" s="10">
        <v>46222</v>
      </c>
      <c r="C111" s="9" t="s">
        <v>46</v>
      </c>
      <c r="D111" s="9" t="s">
        <v>52</v>
      </c>
      <c r="E111" s="9" t="s">
        <v>53</v>
      </c>
      <c r="F111" s="9">
        <v>6</v>
      </c>
      <c r="G111" s="11">
        <v>1200</v>
      </c>
      <c r="H111" s="11">
        <f t="shared" si="3"/>
        <v>7200</v>
      </c>
    </row>
    <row r="112" spans="1:8" x14ac:dyDescent="0.25">
      <c r="A112" s="9" t="s">
        <v>172</v>
      </c>
      <c r="B112" s="10">
        <v>46222</v>
      </c>
      <c r="C112" s="9" t="s">
        <v>48</v>
      </c>
      <c r="D112" s="9" t="s">
        <v>52</v>
      </c>
      <c r="E112" s="9" t="s">
        <v>53</v>
      </c>
      <c r="F112" s="9">
        <v>5</v>
      </c>
      <c r="G112" s="11">
        <v>1200</v>
      </c>
      <c r="H112" s="11">
        <f t="shared" si="3"/>
        <v>6000</v>
      </c>
    </row>
    <row r="113" spans="1:8" x14ac:dyDescent="0.25">
      <c r="A113" s="9" t="s">
        <v>173</v>
      </c>
      <c r="B113" s="10">
        <v>46223</v>
      </c>
      <c r="C113" s="9" t="s">
        <v>46</v>
      </c>
      <c r="D113" s="9" t="s">
        <v>52</v>
      </c>
      <c r="E113" s="9" t="s">
        <v>76</v>
      </c>
      <c r="F113" s="9">
        <v>10</v>
      </c>
      <c r="G113" s="11">
        <v>1599</v>
      </c>
      <c r="H113" s="11">
        <f t="shared" si="3"/>
        <v>15990</v>
      </c>
    </row>
    <row r="114" spans="1:8" x14ac:dyDescent="0.25">
      <c r="A114" s="9" t="s">
        <v>174</v>
      </c>
      <c r="B114" s="10">
        <v>46223</v>
      </c>
      <c r="C114" s="9" t="s">
        <v>46</v>
      </c>
      <c r="D114" s="9" t="s">
        <v>61</v>
      </c>
      <c r="E114" s="9" t="s">
        <v>91</v>
      </c>
      <c r="F114" s="9">
        <v>9</v>
      </c>
      <c r="G114" s="11">
        <v>620</v>
      </c>
      <c r="H114" s="11">
        <f t="shared" si="3"/>
        <v>5580</v>
      </c>
    </row>
    <row r="115" spans="1:8" x14ac:dyDescent="0.25">
      <c r="A115" s="9" t="s">
        <v>175</v>
      </c>
      <c r="B115" s="10">
        <v>46223</v>
      </c>
      <c r="C115" s="9" t="s">
        <v>48</v>
      </c>
      <c r="D115" s="9" t="s">
        <v>55</v>
      </c>
      <c r="E115" s="9" t="s">
        <v>56</v>
      </c>
      <c r="F115" s="9">
        <v>5</v>
      </c>
      <c r="G115" s="11">
        <v>150</v>
      </c>
      <c r="H115" s="11">
        <f t="shared" si="3"/>
        <v>750</v>
      </c>
    </row>
    <row r="116" spans="1:8" x14ac:dyDescent="0.25">
      <c r="A116" s="9" t="s">
        <v>176</v>
      </c>
      <c r="B116" s="10">
        <v>46223</v>
      </c>
      <c r="C116" s="9" t="s">
        <v>48</v>
      </c>
      <c r="D116" s="9" t="s">
        <v>55</v>
      </c>
      <c r="E116" s="9" t="s">
        <v>56</v>
      </c>
      <c r="F116" s="9">
        <v>11</v>
      </c>
      <c r="G116" s="11">
        <v>150</v>
      </c>
      <c r="H116" s="11">
        <f t="shared" si="3"/>
        <v>1650</v>
      </c>
    </row>
    <row r="117" spans="1:8" x14ac:dyDescent="0.25">
      <c r="A117" s="9" t="s">
        <v>177</v>
      </c>
      <c r="B117" s="10">
        <v>46223</v>
      </c>
      <c r="C117" s="9" t="s">
        <v>46</v>
      </c>
      <c r="D117" s="9" t="s">
        <v>52</v>
      </c>
      <c r="E117" s="9" t="s">
        <v>59</v>
      </c>
      <c r="F117" s="9">
        <v>9</v>
      </c>
      <c r="G117" s="11">
        <v>899</v>
      </c>
      <c r="H117" s="11">
        <f t="shared" si="3"/>
        <v>8091</v>
      </c>
    </row>
    <row r="118" spans="1:8" x14ac:dyDescent="0.25">
      <c r="A118" s="9" t="s">
        <v>178</v>
      </c>
      <c r="B118" s="10">
        <v>46223</v>
      </c>
      <c r="C118" s="9" t="s">
        <v>46</v>
      </c>
      <c r="D118" s="9" t="s">
        <v>52</v>
      </c>
      <c r="E118" s="9" t="s">
        <v>76</v>
      </c>
      <c r="F118" s="9">
        <v>7</v>
      </c>
      <c r="G118" s="11">
        <v>1599</v>
      </c>
      <c r="H118" s="11">
        <f t="shared" si="3"/>
        <v>11193</v>
      </c>
    </row>
    <row r="119" spans="1:8" x14ac:dyDescent="0.25">
      <c r="A119" s="9" t="s">
        <v>179</v>
      </c>
      <c r="B119" s="10">
        <v>46223</v>
      </c>
      <c r="C119" s="9" t="s">
        <v>41</v>
      </c>
      <c r="D119" s="9" t="s">
        <v>49</v>
      </c>
      <c r="E119" s="9" t="s">
        <v>74</v>
      </c>
      <c r="F119" s="9">
        <v>4</v>
      </c>
      <c r="G119" s="11">
        <v>3400</v>
      </c>
      <c r="H119" s="11">
        <f t="shared" si="3"/>
        <v>13600</v>
      </c>
    </row>
    <row r="120" spans="1:8" x14ac:dyDescent="0.25">
      <c r="A120" s="9" t="s">
        <v>180</v>
      </c>
      <c r="B120" s="10">
        <v>46223</v>
      </c>
      <c r="C120" s="9" t="s">
        <v>48</v>
      </c>
      <c r="D120" s="9" t="s">
        <v>52</v>
      </c>
      <c r="E120" s="9" t="s">
        <v>53</v>
      </c>
      <c r="F120" s="9">
        <v>7</v>
      </c>
      <c r="G120" s="11">
        <v>1200</v>
      </c>
      <c r="H120" s="11">
        <f t="shared" si="3"/>
        <v>8400</v>
      </c>
    </row>
    <row r="121" spans="1:8" x14ac:dyDescent="0.25">
      <c r="A121" s="9" t="s">
        <v>181</v>
      </c>
      <c r="B121" s="10">
        <v>46224</v>
      </c>
      <c r="C121" s="9" t="s">
        <v>58</v>
      </c>
      <c r="D121" s="9" t="s">
        <v>55</v>
      </c>
      <c r="E121" s="9" t="s">
        <v>56</v>
      </c>
      <c r="F121" s="9">
        <v>6</v>
      </c>
      <c r="G121" s="11">
        <v>150</v>
      </c>
      <c r="H121" s="11">
        <f t="shared" si="3"/>
        <v>900</v>
      </c>
    </row>
    <row r="122" spans="1:8" x14ac:dyDescent="0.25">
      <c r="A122" s="9" t="s">
        <v>182</v>
      </c>
      <c r="B122" s="10">
        <v>46224</v>
      </c>
      <c r="C122" s="9" t="s">
        <v>46</v>
      </c>
      <c r="D122" s="9" t="s">
        <v>61</v>
      </c>
      <c r="E122" s="9" t="s">
        <v>64</v>
      </c>
      <c r="F122" s="9">
        <v>3</v>
      </c>
      <c r="G122" s="11">
        <v>450</v>
      </c>
      <c r="H122" s="11">
        <f t="shared" si="3"/>
        <v>1350</v>
      </c>
    </row>
    <row r="123" spans="1:8" x14ac:dyDescent="0.25">
      <c r="A123" s="9" t="s">
        <v>183</v>
      </c>
      <c r="B123" s="10">
        <v>46224</v>
      </c>
      <c r="C123" s="9" t="s">
        <v>46</v>
      </c>
      <c r="D123" s="9" t="s">
        <v>52</v>
      </c>
      <c r="E123" s="9" t="s">
        <v>76</v>
      </c>
      <c r="F123" s="9">
        <v>2</v>
      </c>
      <c r="G123" s="11">
        <v>1599</v>
      </c>
      <c r="H123" s="11">
        <f t="shared" si="3"/>
        <v>3198</v>
      </c>
    </row>
    <row r="124" spans="1:8" x14ac:dyDescent="0.25">
      <c r="A124" s="9" t="s">
        <v>184</v>
      </c>
      <c r="B124" s="10">
        <v>46224</v>
      </c>
      <c r="C124" s="9" t="s">
        <v>46</v>
      </c>
      <c r="D124" s="9" t="s">
        <v>61</v>
      </c>
      <c r="E124" s="9" t="s">
        <v>62</v>
      </c>
      <c r="F124" s="9">
        <v>11</v>
      </c>
      <c r="G124" s="11">
        <v>1899</v>
      </c>
      <c r="H124" s="11">
        <f t="shared" si="3"/>
        <v>20889</v>
      </c>
    </row>
    <row r="125" spans="1:8" x14ac:dyDescent="0.25">
      <c r="A125" s="9" t="s">
        <v>185</v>
      </c>
      <c r="B125" s="10">
        <v>46224</v>
      </c>
      <c r="C125" s="9" t="s">
        <v>46</v>
      </c>
      <c r="D125" s="9" t="s">
        <v>42</v>
      </c>
      <c r="E125" s="9" t="s">
        <v>71</v>
      </c>
      <c r="F125" s="9">
        <v>5</v>
      </c>
      <c r="G125" s="11">
        <v>899</v>
      </c>
      <c r="H125" s="11">
        <f t="shared" si="3"/>
        <v>4495</v>
      </c>
    </row>
    <row r="126" spans="1:8" x14ac:dyDescent="0.25">
      <c r="A126" s="9" t="s">
        <v>186</v>
      </c>
      <c r="B126" s="10">
        <v>46224</v>
      </c>
      <c r="C126" s="9" t="s">
        <v>58</v>
      </c>
      <c r="D126" s="9" t="s">
        <v>55</v>
      </c>
      <c r="E126" s="9" t="s">
        <v>109</v>
      </c>
      <c r="F126" s="9">
        <v>6</v>
      </c>
      <c r="G126" s="11">
        <v>320</v>
      </c>
      <c r="H126" s="11">
        <f t="shared" si="3"/>
        <v>1920</v>
      </c>
    </row>
    <row r="127" spans="1:8" x14ac:dyDescent="0.25">
      <c r="A127" s="9" t="s">
        <v>187</v>
      </c>
      <c r="B127" s="10">
        <v>46224</v>
      </c>
      <c r="C127" s="9" t="s">
        <v>46</v>
      </c>
      <c r="D127" s="9" t="s">
        <v>61</v>
      </c>
      <c r="E127" s="9" t="s">
        <v>64</v>
      </c>
      <c r="F127" s="9">
        <v>6</v>
      </c>
      <c r="G127" s="11">
        <v>450</v>
      </c>
      <c r="H127" s="11">
        <f t="shared" si="3"/>
        <v>2700</v>
      </c>
    </row>
    <row r="128" spans="1:8" x14ac:dyDescent="0.25">
      <c r="A128" s="9" t="s">
        <v>188</v>
      </c>
      <c r="B128" s="10">
        <v>46225</v>
      </c>
      <c r="C128" s="9" t="s">
        <v>46</v>
      </c>
      <c r="D128" s="9" t="s">
        <v>42</v>
      </c>
      <c r="E128" s="9" t="s">
        <v>78</v>
      </c>
      <c r="F128" s="9">
        <v>11</v>
      </c>
      <c r="G128" s="11">
        <v>3200</v>
      </c>
      <c r="H128" s="11">
        <f t="shared" si="3"/>
        <v>35200</v>
      </c>
    </row>
    <row r="129" spans="1:8" x14ac:dyDescent="0.25">
      <c r="A129" s="9" t="s">
        <v>189</v>
      </c>
      <c r="B129" s="10">
        <v>46225</v>
      </c>
      <c r="C129" s="9" t="s">
        <v>48</v>
      </c>
      <c r="D129" s="9" t="s">
        <v>52</v>
      </c>
      <c r="E129" s="9" t="s">
        <v>59</v>
      </c>
      <c r="F129" s="9">
        <v>4</v>
      </c>
      <c r="G129" s="11">
        <v>899</v>
      </c>
      <c r="H129" s="11">
        <f t="shared" si="3"/>
        <v>3596</v>
      </c>
    </row>
    <row r="130" spans="1:8" x14ac:dyDescent="0.25">
      <c r="A130" s="9" t="s">
        <v>190</v>
      </c>
      <c r="B130" s="10">
        <v>46225</v>
      </c>
      <c r="C130" s="9" t="s">
        <v>58</v>
      </c>
      <c r="D130" s="9" t="s">
        <v>49</v>
      </c>
      <c r="E130" s="9" t="s">
        <v>67</v>
      </c>
      <c r="F130" s="9">
        <v>1</v>
      </c>
      <c r="G130" s="11">
        <v>2500</v>
      </c>
      <c r="H130" s="11">
        <f t="shared" si="3"/>
        <v>2500</v>
      </c>
    </row>
    <row r="131" spans="1:8" x14ac:dyDescent="0.25">
      <c r="A131" s="9" t="s">
        <v>191</v>
      </c>
      <c r="B131" s="10">
        <v>46225</v>
      </c>
      <c r="C131" s="9" t="s">
        <v>46</v>
      </c>
      <c r="D131" s="9" t="s">
        <v>52</v>
      </c>
      <c r="E131" s="9" t="s">
        <v>53</v>
      </c>
      <c r="F131" s="9">
        <v>6</v>
      </c>
      <c r="G131" s="11">
        <v>1200</v>
      </c>
      <c r="H131" s="11">
        <f t="shared" si="3"/>
        <v>7200</v>
      </c>
    </row>
    <row r="132" spans="1:8" x14ac:dyDescent="0.25">
      <c r="A132" s="9" t="s">
        <v>192</v>
      </c>
      <c r="B132" s="10">
        <v>46225</v>
      </c>
      <c r="C132" s="9" t="s">
        <v>41</v>
      </c>
      <c r="D132" s="9" t="s">
        <v>49</v>
      </c>
      <c r="E132" s="9" t="s">
        <v>50</v>
      </c>
      <c r="F132" s="9">
        <v>3</v>
      </c>
      <c r="G132" s="11">
        <v>1800</v>
      </c>
      <c r="H132" s="11">
        <f t="shared" si="3"/>
        <v>5400</v>
      </c>
    </row>
    <row r="133" spans="1:8" x14ac:dyDescent="0.25">
      <c r="A133" s="9" t="s">
        <v>193</v>
      </c>
      <c r="B133" s="10">
        <v>46225</v>
      </c>
      <c r="C133" s="9" t="s">
        <v>48</v>
      </c>
      <c r="D133" s="9" t="s">
        <v>61</v>
      </c>
      <c r="E133" s="9" t="s">
        <v>91</v>
      </c>
      <c r="F133" s="9">
        <v>4</v>
      </c>
      <c r="G133" s="11">
        <v>620</v>
      </c>
      <c r="H133" s="11">
        <f t="shared" ref="H133:H164" si="4">F133*G133</f>
        <v>2480</v>
      </c>
    </row>
    <row r="134" spans="1:8" x14ac:dyDescent="0.25">
      <c r="A134" s="9" t="s">
        <v>194</v>
      </c>
      <c r="B134" s="10">
        <v>46225</v>
      </c>
      <c r="C134" s="9" t="s">
        <v>58</v>
      </c>
      <c r="D134" s="9" t="s">
        <v>61</v>
      </c>
      <c r="E134" s="9" t="s">
        <v>91</v>
      </c>
      <c r="F134" s="9">
        <v>8</v>
      </c>
      <c r="G134" s="11">
        <v>620</v>
      </c>
      <c r="H134" s="11">
        <f t="shared" si="4"/>
        <v>4960</v>
      </c>
    </row>
    <row r="135" spans="1:8" x14ac:dyDescent="0.25">
      <c r="A135" s="9" t="s">
        <v>195</v>
      </c>
      <c r="B135" s="10">
        <v>46225</v>
      </c>
      <c r="C135" s="9" t="s">
        <v>46</v>
      </c>
      <c r="D135" s="9" t="s">
        <v>42</v>
      </c>
      <c r="E135" s="9" t="s">
        <v>43</v>
      </c>
      <c r="F135" s="9">
        <v>12</v>
      </c>
      <c r="G135" s="11">
        <v>350</v>
      </c>
      <c r="H135" s="11">
        <f t="shared" si="4"/>
        <v>4200</v>
      </c>
    </row>
    <row r="136" spans="1:8" x14ac:dyDescent="0.25">
      <c r="A136" s="9" t="s">
        <v>196</v>
      </c>
      <c r="B136" s="10">
        <v>46225</v>
      </c>
      <c r="C136" s="9" t="s">
        <v>58</v>
      </c>
      <c r="D136" s="9" t="s">
        <v>52</v>
      </c>
      <c r="E136" s="9" t="s">
        <v>76</v>
      </c>
      <c r="F136" s="9">
        <v>9</v>
      </c>
      <c r="G136" s="11">
        <v>1599</v>
      </c>
      <c r="H136" s="11">
        <f t="shared" si="4"/>
        <v>14391</v>
      </c>
    </row>
    <row r="137" spans="1:8" x14ac:dyDescent="0.25">
      <c r="A137" s="9" t="s">
        <v>197</v>
      </c>
      <c r="B137" s="10">
        <v>46226</v>
      </c>
      <c r="C137" s="9" t="s">
        <v>41</v>
      </c>
      <c r="D137" s="9" t="s">
        <v>61</v>
      </c>
      <c r="E137" s="9" t="s">
        <v>64</v>
      </c>
      <c r="F137" s="9">
        <v>6</v>
      </c>
      <c r="G137" s="11">
        <v>450</v>
      </c>
      <c r="H137" s="11">
        <f t="shared" si="4"/>
        <v>2700</v>
      </c>
    </row>
    <row r="138" spans="1:8" x14ac:dyDescent="0.25">
      <c r="A138" s="9" t="s">
        <v>198</v>
      </c>
      <c r="B138" s="10">
        <v>46226</v>
      </c>
      <c r="C138" s="9" t="s">
        <v>41</v>
      </c>
      <c r="D138" s="9" t="s">
        <v>55</v>
      </c>
      <c r="E138" s="9" t="s">
        <v>86</v>
      </c>
      <c r="F138" s="9">
        <v>1</v>
      </c>
      <c r="G138" s="11">
        <v>90</v>
      </c>
      <c r="H138" s="11">
        <f t="shared" si="4"/>
        <v>90</v>
      </c>
    </row>
    <row r="139" spans="1:8" x14ac:dyDescent="0.25">
      <c r="A139" s="9" t="s">
        <v>199</v>
      </c>
      <c r="B139" s="10">
        <v>46226</v>
      </c>
      <c r="C139" s="9" t="s">
        <v>48</v>
      </c>
      <c r="D139" s="9" t="s">
        <v>42</v>
      </c>
      <c r="E139" s="9" t="s">
        <v>43</v>
      </c>
      <c r="F139" s="9">
        <v>5</v>
      </c>
      <c r="G139" s="11">
        <v>350</v>
      </c>
      <c r="H139" s="11">
        <f t="shared" si="4"/>
        <v>1750</v>
      </c>
    </row>
    <row r="140" spans="1:8" x14ac:dyDescent="0.25">
      <c r="A140" s="9" t="s">
        <v>200</v>
      </c>
      <c r="B140" s="10">
        <v>46226</v>
      </c>
      <c r="C140" s="9" t="s">
        <v>58</v>
      </c>
      <c r="D140" s="9" t="s">
        <v>55</v>
      </c>
      <c r="E140" s="9" t="s">
        <v>109</v>
      </c>
      <c r="F140" s="9">
        <v>10</v>
      </c>
      <c r="G140" s="11">
        <v>320</v>
      </c>
      <c r="H140" s="11">
        <f t="shared" si="4"/>
        <v>3200</v>
      </c>
    </row>
    <row r="141" spans="1:8" x14ac:dyDescent="0.25">
      <c r="A141" s="9" t="s">
        <v>201</v>
      </c>
      <c r="B141" s="10">
        <v>46226</v>
      </c>
      <c r="C141" s="9" t="s">
        <v>48</v>
      </c>
      <c r="D141" s="9" t="s">
        <v>52</v>
      </c>
      <c r="E141" s="9" t="s">
        <v>59</v>
      </c>
      <c r="F141" s="9">
        <v>12</v>
      </c>
      <c r="G141" s="11">
        <v>899</v>
      </c>
      <c r="H141" s="11">
        <f t="shared" si="4"/>
        <v>10788</v>
      </c>
    </row>
    <row r="142" spans="1:8" x14ac:dyDescent="0.25">
      <c r="A142" s="9" t="s">
        <v>202</v>
      </c>
      <c r="B142" s="10">
        <v>46226</v>
      </c>
      <c r="C142" s="9" t="s">
        <v>46</v>
      </c>
      <c r="D142" s="9" t="s">
        <v>49</v>
      </c>
      <c r="E142" s="9" t="s">
        <v>67</v>
      </c>
      <c r="F142" s="9">
        <v>4</v>
      </c>
      <c r="G142" s="11">
        <v>2500</v>
      </c>
      <c r="H142" s="11">
        <f t="shared" si="4"/>
        <v>10000</v>
      </c>
    </row>
    <row r="143" spans="1:8" x14ac:dyDescent="0.25">
      <c r="A143" s="9" t="s">
        <v>203</v>
      </c>
      <c r="B143" s="10">
        <v>46227</v>
      </c>
      <c r="C143" s="9" t="s">
        <v>48</v>
      </c>
      <c r="D143" s="9" t="s">
        <v>42</v>
      </c>
      <c r="E143" s="9" t="s">
        <v>43</v>
      </c>
      <c r="F143" s="9">
        <v>6</v>
      </c>
      <c r="G143" s="11">
        <v>350</v>
      </c>
      <c r="H143" s="11">
        <f t="shared" si="4"/>
        <v>2100</v>
      </c>
    </row>
    <row r="144" spans="1:8" x14ac:dyDescent="0.25">
      <c r="A144" s="9" t="s">
        <v>204</v>
      </c>
      <c r="B144" s="10">
        <v>46227</v>
      </c>
      <c r="C144" s="9" t="s">
        <v>48</v>
      </c>
      <c r="D144" s="9" t="s">
        <v>49</v>
      </c>
      <c r="E144" s="9" t="s">
        <v>50</v>
      </c>
      <c r="F144" s="9">
        <v>10</v>
      </c>
      <c r="G144" s="11">
        <v>1800</v>
      </c>
      <c r="H144" s="11">
        <f t="shared" si="4"/>
        <v>18000</v>
      </c>
    </row>
    <row r="145" spans="1:8" x14ac:dyDescent="0.25">
      <c r="A145" s="9" t="s">
        <v>205</v>
      </c>
      <c r="B145" s="10">
        <v>46227</v>
      </c>
      <c r="C145" s="9" t="s">
        <v>48</v>
      </c>
      <c r="D145" s="9" t="s">
        <v>61</v>
      </c>
      <c r="E145" s="9" t="s">
        <v>91</v>
      </c>
      <c r="F145" s="9">
        <v>12</v>
      </c>
      <c r="G145" s="11">
        <v>620</v>
      </c>
      <c r="H145" s="11">
        <f t="shared" si="4"/>
        <v>7440</v>
      </c>
    </row>
    <row r="146" spans="1:8" x14ac:dyDescent="0.25">
      <c r="A146" s="9" t="s">
        <v>206</v>
      </c>
      <c r="B146" s="10">
        <v>46227</v>
      </c>
      <c r="C146" s="9" t="s">
        <v>48</v>
      </c>
      <c r="D146" s="9" t="s">
        <v>52</v>
      </c>
      <c r="E146" s="9" t="s">
        <v>53</v>
      </c>
      <c r="F146" s="9">
        <v>9</v>
      </c>
      <c r="G146" s="11">
        <v>1200</v>
      </c>
      <c r="H146" s="11">
        <f t="shared" si="4"/>
        <v>10800</v>
      </c>
    </row>
    <row r="147" spans="1:8" x14ac:dyDescent="0.25">
      <c r="A147" s="9" t="s">
        <v>207</v>
      </c>
      <c r="B147" s="10">
        <v>46227</v>
      </c>
      <c r="C147" s="9" t="s">
        <v>41</v>
      </c>
      <c r="D147" s="9" t="s">
        <v>61</v>
      </c>
      <c r="E147" s="9" t="s">
        <v>64</v>
      </c>
      <c r="F147" s="9">
        <v>4</v>
      </c>
      <c r="G147" s="11">
        <v>450</v>
      </c>
      <c r="H147" s="11">
        <f t="shared" si="4"/>
        <v>1800</v>
      </c>
    </row>
    <row r="148" spans="1:8" x14ac:dyDescent="0.25">
      <c r="A148" s="9" t="s">
        <v>208</v>
      </c>
      <c r="B148" s="10">
        <v>46227</v>
      </c>
      <c r="C148" s="9" t="s">
        <v>46</v>
      </c>
      <c r="D148" s="9" t="s">
        <v>52</v>
      </c>
      <c r="E148" s="9" t="s">
        <v>76</v>
      </c>
      <c r="F148" s="9">
        <v>9</v>
      </c>
      <c r="G148" s="11">
        <v>1599</v>
      </c>
      <c r="H148" s="11">
        <f t="shared" si="4"/>
        <v>14391</v>
      </c>
    </row>
    <row r="149" spans="1:8" x14ac:dyDescent="0.25">
      <c r="A149" s="9" t="s">
        <v>209</v>
      </c>
      <c r="B149" s="10">
        <v>46228</v>
      </c>
      <c r="C149" s="9" t="s">
        <v>46</v>
      </c>
      <c r="D149" s="9" t="s">
        <v>52</v>
      </c>
      <c r="E149" s="9" t="s">
        <v>76</v>
      </c>
      <c r="F149" s="9">
        <v>9</v>
      </c>
      <c r="G149" s="11">
        <v>1599</v>
      </c>
      <c r="H149" s="11">
        <f t="shared" si="4"/>
        <v>14391</v>
      </c>
    </row>
    <row r="150" spans="1:8" x14ac:dyDescent="0.25">
      <c r="A150" s="9" t="s">
        <v>210</v>
      </c>
      <c r="B150" s="10">
        <v>46228</v>
      </c>
      <c r="C150" s="9" t="s">
        <v>46</v>
      </c>
      <c r="D150" s="9" t="s">
        <v>42</v>
      </c>
      <c r="E150" s="9" t="s">
        <v>71</v>
      </c>
      <c r="F150" s="9">
        <v>2</v>
      </c>
      <c r="G150" s="11">
        <v>899</v>
      </c>
      <c r="H150" s="11">
        <f t="shared" si="4"/>
        <v>1798</v>
      </c>
    </row>
    <row r="151" spans="1:8" x14ac:dyDescent="0.25">
      <c r="A151" s="9" t="s">
        <v>211</v>
      </c>
      <c r="B151" s="10">
        <v>46228</v>
      </c>
      <c r="C151" s="9" t="s">
        <v>41</v>
      </c>
      <c r="D151" s="9" t="s">
        <v>52</v>
      </c>
      <c r="E151" s="9" t="s">
        <v>76</v>
      </c>
      <c r="F151" s="9">
        <v>4</v>
      </c>
      <c r="G151" s="11">
        <v>1599</v>
      </c>
      <c r="H151" s="11">
        <f t="shared" si="4"/>
        <v>6396</v>
      </c>
    </row>
    <row r="152" spans="1:8" x14ac:dyDescent="0.25">
      <c r="A152" s="9" t="s">
        <v>212</v>
      </c>
      <c r="B152" s="10">
        <v>46228</v>
      </c>
      <c r="C152" s="9" t="s">
        <v>46</v>
      </c>
      <c r="D152" s="9" t="s">
        <v>61</v>
      </c>
      <c r="E152" s="9" t="s">
        <v>62</v>
      </c>
      <c r="F152" s="9">
        <v>1</v>
      </c>
      <c r="G152" s="11">
        <v>1899</v>
      </c>
      <c r="H152" s="11">
        <f t="shared" si="4"/>
        <v>1899</v>
      </c>
    </row>
    <row r="153" spans="1:8" x14ac:dyDescent="0.25">
      <c r="A153" s="9" t="s">
        <v>213</v>
      </c>
      <c r="B153" s="10">
        <v>46228</v>
      </c>
      <c r="C153" s="9" t="s">
        <v>46</v>
      </c>
      <c r="D153" s="9" t="s">
        <v>52</v>
      </c>
      <c r="E153" s="9" t="s">
        <v>59</v>
      </c>
      <c r="F153" s="9">
        <v>7</v>
      </c>
      <c r="G153" s="11">
        <v>899</v>
      </c>
      <c r="H153" s="11">
        <f t="shared" si="4"/>
        <v>6293</v>
      </c>
    </row>
    <row r="154" spans="1:8" x14ac:dyDescent="0.25">
      <c r="A154" s="9" t="s">
        <v>214</v>
      </c>
      <c r="B154" s="10">
        <v>46228</v>
      </c>
      <c r="C154" s="9" t="s">
        <v>58</v>
      </c>
      <c r="D154" s="9" t="s">
        <v>49</v>
      </c>
      <c r="E154" s="9" t="s">
        <v>67</v>
      </c>
      <c r="F154" s="9">
        <v>12</v>
      </c>
      <c r="G154" s="11">
        <v>2500</v>
      </c>
      <c r="H154" s="11">
        <f t="shared" si="4"/>
        <v>30000</v>
      </c>
    </row>
    <row r="155" spans="1:8" x14ac:dyDescent="0.25">
      <c r="A155" s="9" t="s">
        <v>215</v>
      </c>
      <c r="B155" s="10">
        <v>46228</v>
      </c>
      <c r="C155" s="9" t="s">
        <v>46</v>
      </c>
      <c r="D155" s="9" t="s">
        <v>52</v>
      </c>
      <c r="E155" s="9" t="s">
        <v>76</v>
      </c>
      <c r="F155" s="9">
        <v>7</v>
      </c>
      <c r="G155" s="11">
        <v>1599</v>
      </c>
      <c r="H155" s="11">
        <f t="shared" si="4"/>
        <v>11193</v>
      </c>
    </row>
    <row r="156" spans="1:8" x14ac:dyDescent="0.25">
      <c r="A156" s="9" t="s">
        <v>216</v>
      </c>
      <c r="B156" s="10">
        <v>46228</v>
      </c>
      <c r="C156" s="9" t="s">
        <v>48</v>
      </c>
      <c r="D156" s="9" t="s">
        <v>49</v>
      </c>
      <c r="E156" s="9" t="s">
        <v>50</v>
      </c>
      <c r="F156" s="9">
        <v>8</v>
      </c>
      <c r="G156" s="11">
        <v>1800</v>
      </c>
      <c r="H156" s="11">
        <f t="shared" si="4"/>
        <v>14400</v>
      </c>
    </row>
    <row r="157" spans="1:8" x14ac:dyDescent="0.25">
      <c r="A157" s="9" t="s">
        <v>217</v>
      </c>
      <c r="B157" s="10">
        <v>46229</v>
      </c>
      <c r="C157" s="9" t="s">
        <v>48</v>
      </c>
      <c r="D157" s="9" t="s">
        <v>55</v>
      </c>
      <c r="E157" s="9" t="s">
        <v>86</v>
      </c>
      <c r="F157" s="9">
        <v>12</v>
      </c>
      <c r="G157" s="11">
        <v>90</v>
      </c>
      <c r="H157" s="11">
        <f t="shared" si="4"/>
        <v>1080</v>
      </c>
    </row>
    <row r="158" spans="1:8" x14ac:dyDescent="0.25">
      <c r="A158" s="9" t="s">
        <v>218</v>
      </c>
      <c r="B158" s="10">
        <v>46229</v>
      </c>
      <c r="C158" s="9" t="s">
        <v>48</v>
      </c>
      <c r="D158" s="9" t="s">
        <v>52</v>
      </c>
      <c r="E158" s="9" t="s">
        <v>59</v>
      </c>
      <c r="F158" s="9">
        <v>1</v>
      </c>
      <c r="G158" s="11">
        <v>899</v>
      </c>
      <c r="H158" s="11">
        <f t="shared" si="4"/>
        <v>899</v>
      </c>
    </row>
    <row r="159" spans="1:8" x14ac:dyDescent="0.25">
      <c r="A159" s="9" t="s">
        <v>219</v>
      </c>
      <c r="B159" s="10">
        <v>46229</v>
      </c>
      <c r="C159" s="9" t="s">
        <v>46</v>
      </c>
      <c r="D159" s="9" t="s">
        <v>42</v>
      </c>
      <c r="E159" s="9" t="s">
        <v>71</v>
      </c>
      <c r="F159" s="9">
        <v>4</v>
      </c>
      <c r="G159" s="11">
        <v>899</v>
      </c>
      <c r="H159" s="11">
        <f t="shared" si="4"/>
        <v>3596</v>
      </c>
    </row>
    <row r="160" spans="1:8" x14ac:dyDescent="0.25">
      <c r="A160" s="9" t="s">
        <v>220</v>
      </c>
      <c r="B160" s="10">
        <v>46229</v>
      </c>
      <c r="C160" s="9" t="s">
        <v>46</v>
      </c>
      <c r="D160" s="9" t="s">
        <v>55</v>
      </c>
      <c r="E160" s="9" t="s">
        <v>86</v>
      </c>
      <c r="F160" s="9">
        <v>10</v>
      </c>
      <c r="G160" s="11">
        <v>90</v>
      </c>
      <c r="H160" s="11">
        <f t="shared" si="4"/>
        <v>900</v>
      </c>
    </row>
    <row r="161" spans="1:8" x14ac:dyDescent="0.25">
      <c r="A161" s="9" t="s">
        <v>221</v>
      </c>
      <c r="B161" s="10">
        <v>46229</v>
      </c>
      <c r="C161" s="9" t="s">
        <v>48</v>
      </c>
      <c r="D161" s="9" t="s">
        <v>55</v>
      </c>
      <c r="E161" s="9" t="s">
        <v>86</v>
      </c>
      <c r="F161" s="9">
        <v>4</v>
      </c>
      <c r="G161" s="11">
        <v>90</v>
      </c>
      <c r="H161" s="11">
        <f t="shared" si="4"/>
        <v>360</v>
      </c>
    </row>
    <row r="162" spans="1:8" x14ac:dyDescent="0.25">
      <c r="A162" s="9" t="s">
        <v>222</v>
      </c>
      <c r="B162" s="10">
        <v>46229</v>
      </c>
      <c r="C162" s="9" t="s">
        <v>46</v>
      </c>
      <c r="D162" s="9" t="s">
        <v>49</v>
      </c>
      <c r="E162" s="9" t="s">
        <v>67</v>
      </c>
      <c r="F162" s="9">
        <v>3</v>
      </c>
      <c r="G162" s="11">
        <v>2500</v>
      </c>
      <c r="H162" s="11">
        <f t="shared" si="4"/>
        <v>7500</v>
      </c>
    </row>
    <row r="163" spans="1:8" x14ac:dyDescent="0.25">
      <c r="A163" s="9" t="s">
        <v>223</v>
      </c>
      <c r="B163" s="10">
        <v>46229</v>
      </c>
      <c r="C163" s="9" t="s">
        <v>46</v>
      </c>
      <c r="D163" s="9" t="s">
        <v>55</v>
      </c>
      <c r="E163" s="9" t="s">
        <v>109</v>
      </c>
      <c r="F163" s="9">
        <v>10</v>
      </c>
      <c r="G163" s="11">
        <v>320</v>
      </c>
      <c r="H163" s="11">
        <f t="shared" si="4"/>
        <v>3200</v>
      </c>
    </row>
    <row r="164" spans="1:8" x14ac:dyDescent="0.25">
      <c r="A164" s="9" t="s">
        <v>224</v>
      </c>
      <c r="B164" s="10">
        <v>46230</v>
      </c>
      <c r="C164" s="9" t="s">
        <v>41</v>
      </c>
      <c r="D164" s="9" t="s">
        <v>55</v>
      </c>
      <c r="E164" s="9" t="s">
        <v>86</v>
      </c>
      <c r="F164" s="9">
        <v>11</v>
      </c>
      <c r="G164" s="11">
        <v>90</v>
      </c>
      <c r="H164" s="11">
        <f t="shared" si="4"/>
        <v>990</v>
      </c>
    </row>
    <row r="165" spans="1:8" x14ac:dyDescent="0.25">
      <c r="A165" s="9" t="s">
        <v>225</v>
      </c>
      <c r="B165" s="10">
        <v>46230</v>
      </c>
      <c r="C165" s="9" t="s">
        <v>41</v>
      </c>
      <c r="D165" s="9" t="s">
        <v>52</v>
      </c>
      <c r="E165" s="9" t="s">
        <v>53</v>
      </c>
      <c r="F165" s="9">
        <v>10</v>
      </c>
      <c r="G165" s="11">
        <v>1200</v>
      </c>
      <c r="H165" s="11">
        <f t="shared" ref="H165:H196" si="5">F165*G165</f>
        <v>12000</v>
      </c>
    </row>
    <row r="166" spans="1:8" x14ac:dyDescent="0.25">
      <c r="A166" s="9" t="s">
        <v>226</v>
      </c>
      <c r="B166" s="10">
        <v>46230</v>
      </c>
      <c r="C166" s="9" t="s">
        <v>58</v>
      </c>
      <c r="D166" s="9" t="s">
        <v>61</v>
      </c>
      <c r="E166" s="9" t="s">
        <v>62</v>
      </c>
      <c r="F166" s="9">
        <v>8</v>
      </c>
      <c r="G166" s="11">
        <v>1899</v>
      </c>
      <c r="H166" s="11">
        <f t="shared" si="5"/>
        <v>15192</v>
      </c>
    </row>
    <row r="167" spans="1:8" x14ac:dyDescent="0.25">
      <c r="A167" s="9" t="s">
        <v>227</v>
      </c>
      <c r="B167" s="10">
        <v>46230</v>
      </c>
      <c r="C167" s="9" t="s">
        <v>48</v>
      </c>
      <c r="D167" s="9" t="s">
        <v>49</v>
      </c>
      <c r="E167" s="9" t="s">
        <v>74</v>
      </c>
      <c r="F167" s="9">
        <v>2</v>
      </c>
      <c r="G167" s="11">
        <v>3400</v>
      </c>
      <c r="H167" s="11">
        <f t="shared" si="5"/>
        <v>6800</v>
      </c>
    </row>
    <row r="168" spans="1:8" x14ac:dyDescent="0.25">
      <c r="A168" s="9" t="s">
        <v>228</v>
      </c>
      <c r="B168" s="10">
        <v>46230</v>
      </c>
      <c r="C168" s="9" t="s">
        <v>46</v>
      </c>
      <c r="D168" s="9" t="s">
        <v>55</v>
      </c>
      <c r="E168" s="9" t="s">
        <v>109</v>
      </c>
      <c r="F168" s="9">
        <v>9</v>
      </c>
      <c r="G168" s="11">
        <v>320</v>
      </c>
      <c r="H168" s="11">
        <f t="shared" si="5"/>
        <v>2880</v>
      </c>
    </row>
    <row r="169" spans="1:8" x14ac:dyDescent="0.25">
      <c r="A169" s="9" t="s">
        <v>229</v>
      </c>
      <c r="B169" s="10">
        <v>46230</v>
      </c>
      <c r="C169" s="9" t="s">
        <v>48</v>
      </c>
      <c r="D169" s="9" t="s">
        <v>61</v>
      </c>
      <c r="E169" s="9" t="s">
        <v>91</v>
      </c>
      <c r="F169" s="9">
        <v>6</v>
      </c>
      <c r="G169" s="11">
        <v>620</v>
      </c>
      <c r="H169" s="11">
        <f t="shared" si="5"/>
        <v>3720</v>
      </c>
    </row>
    <row r="170" spans="1:8" x14ac:dyDescent="0.25">
      <c r="A170" s="9" t="s">
        <v>230</v>
      </c>
      <c r="B170" s="10">
        <v>46230</v>
      </c>
      <c r="C170" s="9" t="s">
        <v>46</v>
      </c>
      <c r="D170" s="9" t="s">
        <v>52</v>
      </c>
      <c r="E170" s="9" t="s">
        <v>59</v>
      </c>
      <c r="F170" s="9">
        <v>3</v>
      </c>
      <c r="G170" s="11">
        <v>899</v>
      </c>
      <c r="H170" s="11">
        <f t="shared" si="5"/>
        <v>2697</v>
      </c>
    </row>
    <row r="171" spans="1:8" x14ac:dyDescent="0.25">
      <c r="A171" s="9" t="s">
        <v>231</v>
      </c>
      <c r="B171" s="10">
        <v>46230</v>
      </c>
      <c r="C171" s="9" t="s">
        <v>48</v>
      </c>
      <c r="D171" s="9" t="s">
        <v>42</v>
      </c>
      <c r="E171" s="9" t="s">
        <v>78</v>
      </c>
      <c r="F171" s="9">
        <v>8</v>
      </c>
      <c r="G171" s="11">
        <v>3200</v>
      </c>
      <c r="H171" s="11">
        <f t="shared" si="5"/>
        <v>25600</v>
      </c>
    </row>
    <row r="172" spans="1:8" x14ac:dyDescent="0.25">
      <c r="A172" s="9" t="s">
        <v>232</v>
      </c>
      <c r="B172" s="10">
        <v>46230</v>
      </c>
      <c r="C172" s="9" t="s">
        <v>41</v>
      </c>
      <c r="D172" s="9" t="s">
        <v>61</v>
      </c>
      <c r="E172" s="9" t="s">
        <v>64</v>
      </c>
      <c r="F172" s="9">
        <v>6</v>
      </c>
      <c r="G172" s="11">
        <v>450</v>
      </c>
      <c r="H172" s="11">
        <f t="shared" si="5"/>
        <v>2700</v>
      </c>
    </row>
    <row r="173" spans="1:8" x14ac:dyDescent="0.25">
      <c r="A173" s="9" t="s">
        <v>233</v>
      </c>
      <c r="B173" s="10">
        <v>46231</v>
      </c>
      <c r="C173" s="9" t="s">
        <v>41</v>
      </c>
      <c r="D173" s="9" t="s">
        <v>52</v>
      </c>
      <c r="E173" s="9" t="s">
        <v>76</v>
      </c>
      <c r="F173" s="9">
        <v>5</v>
      </c>
      <c r="G173" s="11">
        <v>1599</v>
      </c>
      <c r="H173" s="11">
        <f t="shared" si="5"/>
        <v>7995</v>
      </c>
    </row>
    <row r="174" spans="1:8" x14ac:dyDescent="0.25">
      <c r="A174" s="9" t="s">
        <v>234</v>
      </c>
      <c r="B174" s="10">
        <v>46231</v>
      </c>
      <c r="C174" s="9" t="s">
        <v>46</v>
      </c>
      <c r="D174" s="9" t="s">
        <v>52</v>
      </c>
      <c r="E174" s="9" t="s">
        <v>76</v>
      </c>
      <c r="F174" s="9">
        <v>6</v>
      </c>
      <c r="G174" s="11">
        <v>1599</v>
      </c>
      <c r="H174" s="11">
        <f t="shared" si="5"/>
        <v>9594</v>
      </c>
    </row>
    <row r="175" spans="1:8" x14ac:dyDescent="0.25">
      <c r="A175" s="9" t="s">
        <v>235</v>
      </c>
      <c r="B175" s="10">
        <v>46231</v>
      </c>
      <c r="C175" s="9" t="s">
        <v>58</v>
      </c>
      <c r="D175" s="9" t="s">
        <v>42</v>
      </c>
      <c r="E175" s="9" t="s">
        <v>71</v>
      </c>
      <c r="F175" s="9">
        <v>11</v>
      </c>
      <c r="G175" s="11">
        <v>899</v>
      </c>
      <c r="H175" s="11">
        <f t="shared" si="5"/>
        <v>9889</v>
      </c>
    </row>
    <row r="176" spans="1:8" x14ac:dyDescent="0.25">
      <c r="A176" s="9" t="s">
        <v>236</v>
      </c>
      <c r="B176" s="10">
        <v>46231</v>
      </c>
      <c r="C176" s="9" t="s">
        <v>46</v>
      </c>
      <c r="D176" s="9" t="s">
        <v>55</v>
      </c>
      <c r="E176" s="9" t="s">
        <v>56</v>
      </c>
      <c r="F176" s="9">
        <v>5</v>
      </c>
      <c r="G176" s="11">
        <v>150</v>
      </c>
      <c r="H176" s="11">
        <f t="shared" si="5"/>
        <v>750</v>
      </c>
    </row>
    <row r="177" spans="1:8" x14ac:dyDescent="0.25">
      <c r="A177" s="9" t="s">
        <v>237</v>
      </c>
      <c r="B177" s="10">
        <v>46231</v>
      </c>
      <c r="C177" s="9" t="s">
        <v>41</v>
      </c>
      <c r="D177" s="9" t="s">
        <v>55</v>
      </c>
      <c r="E177" s="9" t="s">
        <v>86</v>
      </c>
      <c r="F177" s="9">
        <v>2</v>
      </c>
      <c r="G177" s="11">
        <v>90</v>
      </c>
      <c r="H177" s="11">
        <f t="shared" si="5"/>
        <v>180</v>
      </c>
    </row>
    <row r="178" spans="1:8" x14ac:dyDescent="0.25">
      <c r="A178" s="9" t="s">
        <v>238</v>
      </c>
      <c r="B178" s="10">
        <v>46231</v>
      </c>
      <c r="C178" s="9" t="s">
        <v>46</v>
      </c>
      <c r="D178" s="9" t="s">
        <v>49</v>
      </c>
      <c r="E178" s="9" t="s">
        <v>67</v>
      </c>
      <c r="F178" s="9">
        <v>3</v>
      </c>
      <c r="G178" s="11">
        <v>2500</v>
      </c>
      <c r="H178" s="11">
        <f t="shared" si="5"/>
        <v>7500</v>
      </c>
    </row>
    <row r="179" spans="1:8" x14ac:dyDescent="0.25">
      <c r="A179" s="9" t="s">
        <v>239</v>
      </c>
      <c r="B179" s="10">
        <v>46231</v>
      </c>
      <c r="C179" s="9" t="s">
        <v>58</v>
      </c>
      <c r="D179" s="9" t="s">
        <v>42</v>
      </c>
      <c r="E179" s="9" t="s">
        <v>71</v>
      </c>
      <c r="F179" s="9">
        <v>1</v>
      </c>
      <c r="G179" s="11">
        <v>899</v>
      </c>
      <c r="H179" s="11">
        <f t="shared" si="5"/>
        <v>899</v>
      </c>
    </row>
    <row r="180" spans="1:8" x14ac:dyDescent="0.25">
      <c r="A180" s="9" t="s">
        <v>240</v>
      </c>
      <c r="B180" s="10">
        <v>46231</v>
      </c>
      <c r="C180" s="9" t="s">
        <v>48</v>
      </c>
      <c r="D180" s="9" t="s">
        <v>55</v>
      </c>
      <c r="E180" s="9" t="s">
        <v>109</v>
      </c>
      <c r="F180" s="9">
        <v>8</v>
      </c>
      <c r="G180" s="11">
        <v>320</v>
      </c>
      <c r="H180" s="11">
        <f t="shared" si="5"/>
        <v>2560</v>
      </c>
    </row>
    <row r="181" spans="1:8" x14ac:dyDescent="0.25">
      <c r="A181" s="9" t="s">
        <v>241</v>
      </c>
      <c r="B181" s="10">
        <v>46231</v>
      </c>
      <c r="C181" s="9" t="s">
        <v>46</v>
      </c>
      <c r="D181" s="9" t="s">
        <v>42</v>
      </c>
      <c r="E181" s="9" t="s">
        <v>43</v>
      </c>
      <c r="F181" s="9">
        <v>3</v>
      </c>
      <c r="G181" s="11">
        <v>350</v>
      </c>
      <c r="H181" s="11">
        <f t="shared" si="5"/>
        <v>1050</v>
      </c>
    </row>
    <row r="182" spans="1:8" x14ac:dyDescent="0.25">
      <c r="A182" s="9" t="s">
        <v>242</v>
      </c>
      <c r="B182" s="10">
        <v>46232</v>
      </c>
      <c r="C182" s="9" t="s">
        <v>48</v>
      </c>
      <c r="D182" s="9" t="s">
        <v>52</v>
      </c>
      <c r="E182" s="9" t="s">
        <v>76</v>
      </c>
      <c r="F182" s="9">
        <v>4</v>
      </c>
      <c r="G182" s="11">
        <v>1599</v>
      </c>
      <c r="H182" s="11">
        <f t="shared" si="5"/>
        <v>6396</v>
      </c>
    </row>
    <row r="183" spans="1:8" x14ac:dyDescent="0.25">
      <c r="A183" s="9" t="s">
        <v>243</v>
      </c>
      <c r="B183" s="10">
        <v>46232</v>
      </c>
      <c r="C183" s="9" t="s">
        <v>48</v>
      </c>
      <c r="D183" s="9" t="s">
        <v>49</v>
      </c>
      <c r="E183" s="9" t="s">
        <v>50</v>
      </c>
      <c r="F183" s="9">
        <v>8</v>
      </c>
      <c r="G183" s="11">
        <v>1800</v>
      </c>
      <c r="H183" s="11">
        <f t="shared" si="5"/>
        <v>14400</v>
      </c>
    </row>
    <row r="184" spans="1:8" x14ac:dyDescent="0.25">
      <c r="A184" s="9" t="s">
        <v>244</v>
      </c>
      <c r="B184" s="10">
        <v>46232</v>
      </c>
      <c r="C184" s="9" t="s">
        <v>48</v>
      </c>
      <c r="D184" s="9" t="s">
        <v>49</v>
      </c>
      <c r="E184" s="9" t="s">
        <v>67</v>
      </c>
      <c r="F184" s="9">
        <v>11</v>
      </c>
      <c r="G184" s="11">
        <v>2500</v>
      </c>
      <c r="H184" s="11">
        <f t="shared" si="5"/>
        <v>27500</v>
      </c>
    </row>
    <row r="185" spans="1:8" x14ac:dyDescent="0.25">
      <c r="A185" s="9" t="s">
        <v>245</v>
      </c>
      <c r="B185" s="10">
        <v>46232</v>
      </c>
      <c r="C185" s="9" t="s">
        <v>41</v>
      </c>
      <c r="D185" s="9" t="s">
        <v>42</v>
      </c>
      <c r="E185" s="9" t="s">
        <v>78</v>
      </c>
      <c r="F185" s="9">
        <v>11</v>
      </c>
      <c r="G185" s="11">
        <v>3200</v>
      </c>
      <c r="H185" s="11">
        <f t="shared" si="5"/>
        <v>35200</v>
      </c>
    </row>
    <row r="186" spans="1:8" x14ac:dyDescent="0.25">
      <c r="A186" s="9" t="s">
        <v>246</v>
      </c>
      <c r="B186" s="10">
        <v>46232</v>
      </c>
      <c r="C186" s="9" t="s">
        <v>46</v>
      </c>
      <c r="D186" s="9" t="s">
        <v>55</v>
      </c>
      <c r="E186" s="9" t="s">
        <v>109</v>
      </c>
      <c r="F186" s="9">
        <v>11</v>
      </c>
      <c r="G186" s="11">
        <v>320</v>
      </c>
      <c r="H186" s="11">
        <f t="shared" si="5"/>
        <v>3520</v>
      </c>
    </row>
    <row r="187" spans="1:8" x14ac:dyDescent="0.25">
      <c r="A187" s="9" t="s">
        <v>247</v>
      </c>
      <c r="B187" s="10">
        <v>46232</v>
      </c>
      <c r="C187" s="9" t="s">
        <v>48</v>
      </c>
      <c r="D187" s="9" t="s">
        <v>42</v>
      </c>
      <c r="E187" s="9" t="s">
        <v>78</v>
      </c>
      <c r="F187" s="9">
        <v>6</v>
      </c>
      <c r="G187" s="11">
        <v>3200</v>
      </c>
      <c r="H187" s="11">
        <f t="shared" si="5"/>
        <v>19200</v>
      </c>
    </row>
    <row r="188" spans="1:8" x14ac:dyDescent="0.25">
      <c r="A188" s="9" t="s">
        <v>248</v>
      </c>
      <c r="B188" s="10">
        <v>46232</v>
      </c>
      <c r="C188" s="9" t="s">
        <v>46</v>
      </c>
      <c r="D188" s="9" t="s">
        <v>49</v>
      </c>
      <c r="E188" s="9" t="s">
        <v>50</v>
      </c>
      <c r="F188" s="9">
        <v>1</v>
      </c>
      <c r="G188" s="11">
        <v>1800</v>
      </c>
      <c r="H188" s="11">
        <f t="shared" si="5"/>
        <v>1800</v>
      </c>
    </row>
    <row r="189" spans="1:8" x14ac:dyDescent="0.25">
      <c r="A189" s="9" t="s">
        <v>249</v>
      </c>
      <c r="B189" s="10">
        <v>46232</v>
      </c>
      <c r="C189" s="9" t="s">
        <v>46</v>
      </c>
      <c r="D189" s="9" t="s">
        <v>52</v>
      </c>
      <c r="E189" s="9" t="s">
        <v>59</v>
      </c>
      <c r="F189" s="9">
        <v>7</v>
      </c>
      <c r="G189" s="11">
        <v>899</v>
      </c>
      <c r="H189" s="11">
        <f t="shared" si="5"/>
        <v>6293</v>
      </c>
    </row>
    <row r="190" spans="1:8" x14ac:dyDescent="0.25">
      <c r="A190" s="9" t="s">
        <v>250</v>
      </c>
      <c r="B190" s="10">
        <v>46233</v>
      </c>
      <c r="C190" s="9" t="s">
        <v>46</v>
      </c>
      <c r="D190" s="9" t="s">
        <v>42</v>
      </c>
      <c r="E190" s="9" t="s">
        <v>43</v>
      </c>
      <c r="F190" s="9">
        <v>4</v>
      </c>
      <c r="G190" s="11">
        <v>350</v>
      </c>
      <c r="H190" s="11">
        <f t="shared" si="5"/>
        <v>1400</v>
      </c>
    </row>
    <row r="191" spans="1:8" x14ac:dyDescent="0.25">
      <c r="A191" s="9" t="s">
        <v>251</v>
      </c>
      <c r="B191" s="10">
        <v>46233</v>
      </c>
      <c r="C191" s="9" t="s">
        <v>46</v>
      </c>
      <c r="D191" s="9" t="s">
        <v>61</v>
      </c>
      <c r="E191" s="9" t="s">
        <v>91</v>
      </c>
      <c r="F191" s="9">
        <v>3</v>
      </c>
      <c r="G191" s="11">
        <v>620</v>
      </c>
      <c r="H191" s="11">
        <f t="shared" si="5"/>
        <v>1860</v>
      </c>
    </row>
    <row r="192" spans="1:8" x14ac:dyDescent="0.25">
      <c r="A192" s="9" t="s">
        <v>252</v>
      </c>
      <c r="B192" s="10">
        <v>46233</v>
      </c>
      <c r="C192" s="9" t="s">
        <v>46</v>
      </c>
      <c r="D192" s="9" t="s">
        <v>52</v>
      </c>
      <c r="E192" s="9" t="s">
        <v>59</v>
      </c>
      <c r="F192" s="9">
        <v>6</v>
      </c>
      <c r="G192" s="11">
        <v>899</v>
      </c>
      <c r="H192" s="11">
        <f t="shared" si="5"/>
        <v>5394</v>
      </c>
    </row>
    <row r="193" spans="1:8" x14ac:dyDescent="0.25">
      <c r="A193" s="9" t="s">
        <v>253</v>
      </c>
      <c r="B193" s="10">
        <v>46233</v>
      </c>
      <c r="C193" s="9" t="s">
        <v>48</v>
      </c>
      <c r="D193" s="9" t="s">
        <v>55</v>
      </c>
      <c r="E193" s="9" t="s">
        <v>56</v>
      </c>
      <c r="F193" s="9">
        <v>1</v>
      </c>
      <c r="G193" s="11">
        <v>150</v>
      </c>
      <c r="H193" s="11">
        <f t="shared" si="5"/>
        <v>150</v>
      </c>
    </row>
    <row r="194" spans="1:8" x14ac:dyDescent="0.25">
      <c r="A194" s="9" t="s">
        <v>254</v>
      </c>
      <c r="B194" s="10">
        <v>46233</v>
      </c>
      <c r="C194" s="9" t="s">
        <v>46</v>
      </c>
      <c r="D194" s="9" t="s">
        <v>52</v>
      </c>
      <c r="E194" s="9" t="s">
        <v>76</v>
      </c>
      <c r="F194" s="9">
        <v>3</v>
      </c>
      <c r="G194" s="11">
        <v>1599</v>
      </c>
      <c r="H194" s="11">
        <f t="shared" si="5"/>
        <v>4797</v>
      </c>
    </row>
    <row r="195" spans="1:8" x14ac:dyDescent="0.25">
      <c r="A195" s="9" t="s">
        <v>255</v>
      </c>
      <c r="B195" s="10">
        <v>46233</v>
      </c>
      <c r="C195" s="9" t="s">
        <v>58</v>
      </c>
      <c r="D195" s="9" t="s">
        <v>61</v>
      </c>
      <c r="E195" s="9" t="s">
        <v>91</v>
      </c>
      <c r="F195" s="9">
        <v>4</v>
      </c>
      <c r="G195" s="11">
        <v>620</v>
      </c>
      <c r="H195" s="11">
        <f t="shared" si="5"/>
        <v>2480</v>
      </c>
    </row>
    <row r="196" spans="1:8" x14ac:dyDescent="0.25">
      <c r="A196" s="9" t="s">
        <v>256</v>
      </c>
      <c r="B196" s="10">
        <v>46233</v>
      </c>
      <c r="C196" s="9" t="s">
        <v>41</v>
      </c>
      <c r="D196" s="9" t="s">
        <v>49</v>
      </c>
      <c r="E196" s="9" t="s">
        <v>50</v>
      </c>
      <c r="F196" s="9">
        <v>4</v>
      </c>
      <c r="G196" s="11">
        <v>1800</v>
      </c>
      <c r="H196" s="11">
        <f t="shared" si="5"/>
        <v>7200</v>
      </c>
    </row>
    <row r="197" spans="1:8" x14ac:dyDescent="0.25">
      <c r="A197" s="9" t="s">
        <v>257</v>
      </c>
      <c r="B197" s="10">
        <v>46234</v>
      </c>
      <c r="C197" s="9" t="s">
        <v>58</v>
      </c>
      <c r="D197" s="9" t="s">
        <v>49</v>
      </c>
      <c r="E197" s="9" t="s">
        <v>67</v>
      </c>
      <c r="F197" s="9">
        <v>7</v>
      </c>
      <c r="G197" s="11">
        <v>2500</v>
      </c>
      <c r="H197" s="11">
        <f t="shared" ref="H197:H204" si="6">F197*G197</f>
        <v>17500</v>
      </c>
    </row>
    <row r="198" spans="1:8" x14ac:dyDescent="0.25">
      <c r="A198" s="9" t="s">
        <v>258</v>
      </c>
      <c r="B198" s="10">
        <v>46234</v>
      </c>
      <c r="C198" s="9" t="s">
        <v>48</v>
      </c>
      <c r="D198" s="9" t="s">
        <v>49</v>
      </c>
      <c r="E198" s="9" t="s">
        <v>67</v>
      </c>
      <c r="F198" s="9">
        <v>11</v>
      </c>
      <c r="G198" s="11">
        <v>2500</v>
      </c>
      <c r="H198" s="11">
        <f t="shared" si="6"/>
        <v>27500</v>
      </c>
    </row>
    <row r="199" spans="1:8" x14ac:dyDescent="0.25">
      <c r="A199" s="9" t="s">
        <v>259</v>
      </c>
      <c r="B199" s="10">
        <v>46234</v>
      </c>
      <c r="C199" s="9" t="s">
        <v>46</v>
      </c>
      <c r="D199" s="9" t="s">
        <v>61</v>
      </c>
      <c r="E199" s="9" t="s">
        <v>62</v>
      </c>
      <c r="F199" s="9">
        <v>6</v>
      </c>
      <c r="G199" s="11">
        <v>1899</v>
      </c>
      <c r="H199" s="11">
        <f t="shared" si="6"/>
        <v>11394</v>
      </c>
    </row>
    <row r="200" spans="1:8" x14ac:dyDescent="0.25">
      <c r="A200" s="9" t="s">
        <v>260</v>
      </c>
      <c r="B200" s="10">
        <v>46234</v>
      </c>
      <c r="C200" s="9" t="s">
        <v>46</v>
      </c>
      <c r="D200" s="9" t="s">
        <v>52</v>
      </c>
      <c r="E200" s="9" t="s">
        <v>53</v>
      </c>
      <c r="F200" s="9">
        <v>4</v>
      </c>
      <c r="G200" s="11">
        <v>1200</v>
      </c>
      <c r="H200" s="11">
        <f t="shared" si="6"/>
        <v>4800</v>
      </c>
    </row>
    <row r="201" spans="1:8" x14ac:dyDescent="0.25">
      <c r="A201" s="9" t="s">
        <v>261</v>
      </c>
      <c r="B201" s="10">
        <v>46234</v>
      </c>
      <c r="C201" s="9" t="s">
        <v>48</v>
      </c>
      <c r="D201" s="9" t="s">
        <v>52</v>
      </c>
      <c r="E201" s="9" t="s">
        <v>53</v>
      </c>
      <c r="F201" s="9">
        <v>4</v>
      </c>
      <c r="G201" s="11">
        <v>1200</v>
      </c>
      <c r="H201" s="11">
        <f t="shared" si="6"/>
        <v>4800</v>
      </c>
    </row>
    <row r="202" spans="1:8" x14ac:dyDescent="0.25">
      <c r="A202" s="9" t="s">
        <v>262</v>
      </c>
      <c r="B202" s="10">
        <v>46234</v>
      </c>
      <c r="C202" s="9" t="s">
        <v>48</v>
      </c>
      <c r="D202" s="9" t="s">
        <v>42</v>
      </c>
      <c r="E202" s="9" t="s">
        <v>43</v>
      </c>
      <c r="F202" s="9">
        <v>4</v>
      </c>
      <c r="G202" s="11">
        <v>350</v>
      </c>
      <c r="H202" s="11">
        <f t="shared" si="6"/>
        <v>1400</v>
      </c>
    </row>
    <row r="203" spans="1:8" x14ac:dyDescent="0.25">
      <c r="A203" s="9" t="s">
        <v>263</v>
      </c>
      <c r="B203" s="10">
        <v>46234</v>
      </c>
      <c r="C203" s="9" t="s">
        <v>46</v>
      </c>
      <c r="D203" s="9" t="s">
        <v>61</v>
      </c>
      <c r="E203" s="9" t="s">
        <v>62</v>
      </c>
      <c r="F203" s="9">
        <v>9</v>
      </c>
      <c r="G203" s="11">
        <v>1899</v>
      </c>
      <c r="H203" s="11">
        <f t="shared" si="6"/>
        <v>17091</v>
      </c>
    </row>
    <row r="204" spans="1:8" x14ac:dyDescent="0.25">
      <c r="A204" s="9" t="s">
        <v>264</v>
      </c>
      <c r="B204" s="10">
        <v>46234</v>
      </c>
      <c r="C204" s="9" t="s">
        <v>58</v>
      </c>
      <c r="D204" s="9" t="s">
        <v>49</v>
      </c>
      <c r="E204" s="9" t="s">
        <v>67</v>
      </c>
      <c r="F204" s="9">
        <v>9</v>
      </c>
      <c r="G204" s="11">
        <v>2500</v>
      </c>
      <c r="H204" s="11">
        <f t="shared" si="6"/>
        <v>22500</v>
      </c>
    </row>
  </sheetData>
  <autoFilter ref="A4:H204" xr:uid="{00000000-0001-0000-0100-000000000000}"/>
  <sortState xmlns:xlrd2="http://schemas.microsoft.com/office/spreadsheetml/2017/richdata2" ref="A5:H204">
    <sortCondition ref="B191:B204"/>
  </sortState>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Sheet1</vt:lpstr>
      <vt:lpstr>Sheet3</vt:lpstr>
      <vt:lpstr>Sheet5</vt:lpstr>
      <vt:lpstr>Sheet6</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Yuvaraja TR</cp:lastModifiedBy>
  <cp:revision>0</cp:revision>
  <dcterms:created xsi:type="dcterms:W3CDTF">2026-08-21T19:01:35Z</dcterms:created>
  <dcterms:modified xsi:type="dcterms:W3CDTF">2026-09-16T01:45:04Z</dcterms:modified>
  <dc:language>en-US</dc:language>
</cp:coreProperties>
</file>