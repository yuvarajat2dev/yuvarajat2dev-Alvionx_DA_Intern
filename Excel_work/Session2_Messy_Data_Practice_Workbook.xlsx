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wn_\Downloads\"/>
    </mc:Choice>
  </mc:AlternateContent>
  <xr:revisionPtr revIDLastSave="0" documentId="13_ncr:1_{2FB70472-28BB-415D-A57D-50BEA27C269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structions" sheetId="1" r:id="rId1"/>
    <sheet name="Messy_15_MiniExercise" sheetId="2" r:id="rId2"/>
    <sheet name="Messy_30_Assignment" sheetId="3" r:id="rId3"/>
  </sheets>
  <definedNames>
    <definedName name="_xlnm._FilterDatabase" localSheetId="2" hidden="1">Messy_30_Assignment!$A$4:$J$30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3" l="1"/>
  <c r="E5" i="3"/>
  <c r="E6" i="3"/>
  <c r="E7" i="3"/>
  <c r="E8" i="3"/>
  <c r="E9" i="3"/>
  <c r="E10" i="3"/>
  <c r="E11" i="3"/>
  <c r="E12" i="3"/>
  <c r="E13" i="3"/>
  <c r="E14" i="3"/>
  <c r="C29" i="3"/>
  <c r="C30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1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5" i="2"/>
  <c r="M3" i="3" l="1"/>
  <c r="M5" i="3"/>
  <c r="M4" i="3"/>
  <c r="M6" i="3"/>
</calcChain>
</file>

<file path=xl/sharedStrings.xml><?xml version="1.0" encoding="utf-8"?>
<sst xmlns="http://schemas.openxmlformats.org/spreadsheetml/2006/main" count="198" uniqueCount="123">
  <si>
    <t>AlvionX Data Analytics Internship</t>
  </si>
  <si>
    <t>Week 1 - Session 2: Data Organization &amp; Cleaning | Messy Data Practice Workbook</t>
  </si>
  <si>
    <t>Sheet</t>
  </si>
  <si>
    <t>What it contains / What to do</t>
  </si>
  <si>
    <t>Messy_15_MiniExercise</t>
  </si>
  <si>
    <t>15-row dataset for the in-session mini exercise (Part 3: Data Cleaning Techniques).</t>
  </si>
  <si>
    <t>Messy_30_Assignment</t>
  </si>
  <si>
    <t>30-row dataset for the take-home practice assignment (covers the full session workflow).</t>
  </si>
  <si>
    <t>MINI EXERCISE (Messy_15_MiniExercise sheet) - 3-4 minutes</t>
  </si>
  <si>
    <t>1. Use TRIM to remove extra spaces from the Name column.</t>
  </si>
  <si>
    <t>2. Use Text to Columns to split the 'Name - Region' column into separate Name and Region fields (delimiter: ' - ').</t>
  </si>
  <si>
    <t>3. Use Remove Duplicates to eliminate duplicate transaction rows (check all columns except Transaction ID).</t>
  </si>
  <si>
    <t>4. Use Go To Special &gt; Blanks to locate empty cells in the Quantity column, then decide how to handle them.</t>
  </si>
  <si>
    <t>5. Wrap any lookup/formula work in IFERROR so errors display cleanly.</t>
  </si>
  <si>
    <t>HOMEWORK ASSIGNMENT (Messy_30_Assignment sheet) - full workflow</t>
  </si>
  <si>
    <t>1. Sort by Region, then by Total Sales (largest to smallest) within each region.</t>
  </si>
  <si>
    <t>2. Filter to show only transactions where Total Sales &gt; 10,000.</t>
  </si>
  <si>
    <t>3. Apply conditional formatting: data bar on Quantity, color scale on Total Sales, and a custom rule highlighting Region = 'North' in yellow.</t>
  </si>
  <si>
    <t>4. Remove duplicate rows and clean inconsistent Region text (mixed casing/spacing) to a standard format.</t>
  </si>
  <si>
    <t>5. Add a dropdown data validation list on the Region column restricting entries to: North, South, East, West.</t>
  </si>
  <si>
    <t>Notes</t>
  </si>
  <si>
    <t>Total Sales column is left blank intentionally - calculate it as Quantity x Unit Price using a formula, applying Session 1 skills.</t>
  </si>
  <si>
    <t>Mini Exercise Dataset - Data Cleaning Practice</t>
  </si>
  <si>
    <t>Contains: extra spaces, duplicate rows, a merged Name-Region column, and blank cells</t>
  </si>
  <si>
    <t>Transaction ID</t>
  </si>
  <si>
    <t>Name - Region (merged)</t>
  </si>
  <si>
    <t>Date</t>
  </si>
  <si>
    <t>Product ID</t>
  </si>
  <si>
    <t>Quantity</t>
  </si>
  <si>
    <t>Unit Price</t>
  </si>
  <si>
    <t>Name (cleaned)</t>
  </si>
  <si>
    <t>Region (cleaned)</t>
  </si>
  <si>
    <t>TXN2001</t>
  </si>
  <si>
    <t>Meena Iyer -North</t>
  </si>
  <si>
    <t>P105</t>
  </si>
  <si>
    <t>TXN2010</t>
  </si>
  <si>
    <t>ANANYA DAS - north</t>
  </si>
  <si>
    <t>P101</t>
  </si>
  <si>
    <t>TXN2004</t>
  </si>
  <si>
    <t xml:space="preserve">  Aarav Sharma - South</t>
  </si>
  <si>
    <t>P103</t>
  </si>
  <si>
    <t>TXN2003</t>
  </si>
  <si>
    <t xml:space="preserve">Priya Verma  -  South  </t>
  </si>
  <si>
    <t>TXN2002</t>
  </si>
  <si>
    <t xml:space="preserve"> Karan Malhotra - North </t>
  </si>
  <si>
    <t>P102</t>
  </si>
  <si>
    <t>TXN2006</t>
  </si>
  <si>
    <t xml:space="preserve">  Sneha Kapoor - East</t>
  </si>
  <si>
    <t>TXN2000</t>
  </si>
  <si>
    <t xml:space="preserve">  Meena Iyer - South</t>
  </si>
  <si>
    <t>P104</t>
  </si>
  <si>
    <t>TXN2008</t>
  </si>
  <si>
    <t xml:space="preserve">Ananya Das  -  West  </t>
  </si>
  <si>
    <t>TXN2007</t>
  </si>
  <si>
    <t>Ananya Das -South</t>
  </si>
  <si>
    <t>TXN2009</t>
  </si>
  <si>
    <t>PRIYA VERMA - east</t>
  </si>
  <si>
    <t>TXN2011</t>
  </si>
  <si>
    <t xml:space="preserve"> Rohit Nair - West </t>
  </si>
  <si>
    <t>TXN2005</t>
  </si>
  <si>
    <t xml:space="preserve"> Ananya Das - East </t>
  </si>
  <si>
    <t>Homework Assignment Dataset - Full Cleaning Workflow</t>
  </si>
  <si>
    <t>Contains: duplicates, inconsistent Region casing/spacing, and blank Quantity cells</t>
  </si>
  <si>
    <t>Validation list reference (Task 5):</t>
  </si>
  <si>
    <t>North</t>
  </si>
  <si>
    <t>Name</t>
  </si>
  <si>
    <t>Region</t>
  </si>
  <si>
    <t>Total Sales</t>
  </si>
  <si>
    <t>South</t>
  </si>
  <si>
    <t>TXN3007</t>
  </si>
  <si>
    <t>Aarav Sharma</t>
  </si>
  <si>
    <t>SOUTH</t>
  </si>
  <si>
    <t>East</t>
  </si>
  <si>
    <t>TXN3005</t>
  </si>
  <si>
    <t>Karan Malhotra</t>
  </si>
  <si>
    <t xml:space="preserve">south </t>
  </si>
  <si>
    <t>West</t>
  </si>
  <si>
    <t>TXN3018</t>
  </si>
  <si>
    <t>Vivek Rao</t>
  </si>
  <si>
    <t>east</t>
  </si>
  <si>
    <t>TXN3009</t>
  </si>
  <si>
    <t xml:space="preserve"> West</t>
  </si>
  <si>
    <t>TXN3023</t>
  </si>
  <si>
    <t>Meena Iyer</t>
  </si>
  <si>
    <t>TXN3013</t>
  </si>
  <si>
    <t>Imran Khan</t>
  </si>
  <si>
    <t>TXN3020</t>
  </si>
  <si>
    <t xml:space="preserve">  Aarav Sharma  </t>
  </si>
  <si>
    <t>EAST</t>
  </si>
  <si>
    <t>TXN3003</t>
  </si>
  <si>
    <t>Fatima Sheikh</t>
  </si>
  <si>
    <t xml:space="preserve"> North</t>
  </si>
  <si>
    <t>TXN3006</t>
  </si>
  <si>
    <t>Sneha Kapoor</t>
  </si>
  <si>
    <t xml:space="preserve">NORTH </t>
  </si>
  <si>
    <t>P107</t>
  </si>
  <si>
    <t>TXN3002</t>
  </si>
  <si>
    <t xml:space="preserve"> South</t>
  </si>
  <si>
    <t>TXN3008</t>
  </si>
  <si>
    <t xml:space="preserve">  Rohit Nair  </t>
  </si>
  <si>
    <t>TXN3001</t>
  </si>
  <si>
    <t>TXN3010</t>
  </si>
  <si>
    <t>TXN3022</t>
  </si>
  <si>
    <t>TXN3012</t>
  </si>
  <si>
    <t xml:space="preserve">  Ananya Das  </t>
  </si>
  <si>
    <t>TXN3016</t>
  </si>
  <si>
    <t xml:space="preserve">  Sneha Kapoor  </t>
  </si>
  <si>
    <t>P106</t>
  </si>
  <si>
    <t>TXN3000</t>
  </si>
  <si>
    <t>TXN3024</t>
  </si>
  <si>
    <t>WEST</t>
  </si>
  <si>
    <t>TXN3017</t>
  </si>
  <si>
    <t>Priya Verma</t>
  </si>
  <si>
    <t>TXN3011</t>
  </si>
  <si>
    <t>TXN3021</t>
  </si>
  <si>
    <t xml:space="preserve"> East </t>
  </si>
  <si>
    <t>TXN3015</t>
  </si>
  <si>
    <t>TXN3014</t>
  </si>
  <si>
    <t>TXN3019</t>
  </si>
  <si>
    <t>TXN3004</t>
  </si>
  <si>
    <t>TXN3025</t>
  </si>
  <si>
    <t>Name(cleaned)</t>
  </si>
  <si>
    <t>Region(cleaned)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</si>
</sst>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595959"/>
      <name val="Arial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  <font>
      <b/>
      <sz val="10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topLeftCell="A11" workbookViewId="0"/>
  </sheetViews>
  <sheetFormatPr defaultRowHeight="15" x14ac:dyDescent="0.25"/>
  <cols>
    <col min="1" max="1" width="3" customWidth="1"/>
    <col min="2" max="2" width="46" customWidth="1"/>
    <col min="3" max="3" width="78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ht="27.95" customHeight="1" x14ac:dyDescent="0.25">
      <c r="B5" s="3" t="s">
        <v>2</v>
      </c>
      <c r="C5" s="4" t="s">
        <v>3</v>
      </c>
    </row>
    <row r="6" spans="2:3" ht="27.95" customHeight="1" x14ac:dyDescent="0.25">
      <c r="B6" s="3" t="s">
        <v>4</v>
      </c>
      <c r="C6" s="4" t="s">
        <v>5</v>
      </c>
    </row>
    <row r="7" spans="2:3" ht="27.95" customHeight="1" x14ac:dyDescent="0.25">
      <c r="B7" s="3" t="s">
        <v>6</v>
      </c>
      <c r="C7" s="4" t="s">
        <v>7</v>
      </c>
    </row>
    <row r="8" spans="2:3" ht="15.95" customHeight="1" x14ac:dyDescent="0.25">
      <c r="B8" s="3"/>
      <c r="C8" s="4"/>
    </row>
    <row r="9" spans="2:3" ht="15.95" customHeight="1" x14ac:dyDescent="0.25">
      <c r="B9" s="5" t="s">
        <v>8</v>
      </c>
      <c r="C9" s="4"/>
    </row>
    <row r="10" spans="2:3" ht="27.95" customHeight="1" x14ac:dyDescent="0.25">
      <c r="B10" s="3"/>
      <c r="C10" s="4" t="s">
        <v>9</v>
      </c>
    </row>
    <row r="11" spans="2:3" ht="27.95" customHeight="1" x14ac:dyDescent="0.25">
      <c r="B11" s="3"/>
      <c r="C11" s="4" t="s">
        <v>10</v>
      </c>
    </row>
    <row r="12" spans="2:3" ht="27.95" customHeight="1" x14ac:dyDescent="0.25">
      <c r="B12" s="3"/>
      <c r="C12" s="4" t="s">
        <v>11</v>
      </c>
    </row>
    <row r="13" spans="2:3" ht="27.95" customHeight="1" x14ac:dyDescent="0.25">
      <c r="B13" s="3"/>
      <c r="C13" s="4" t="s">
        <v>12</v>
      </c>
    </row>
    <row r="14" spans="2:3" ht="27.95" customHeight="1" x14ac:dyDescent="0.25">
      <c r="B14" s="3"/>
      <c r="C14" s="4" t="s">
        <v>13</v>
      </c>
    </row>
    <row r="15" spans="2:3" ht="15.95" customHeight="1" x14ac:dyDescent="0.25">
      <c r="B15" s="3"/>
      <c r="C15" s="4"/>
    </row>
    <row r="16" spans="2:3" ht="15.95" customHeight="1" x14ac:dyDescent="0.25">
      <c r="B16" s="5" t="s">
        <v>14</v>
      </c>
      <c r="C16" s="4"/>
    </row>
    <row r="17" spans="2:3" ht="27.95" customHeight="1" x14ac:dyDescent="0.25">
      <c r="B17" s="3"/>
      <c r="C17" s="4" t="s">
        <v>15</v>
      </c>
    </row>
    <row r="18" spans="2:3" ht="27.95" customHeight="1" x14ac:dyDescent="0.25">
      <c r="B18" s="3"/>
      <c r="C18" s="4" t="s">
        <v>16</v>
      </c>
    </row>
    <row r="19" spans="2:3" ht="27.95" customHeight="1" x14ac:dyDescent="0.25">
      <c r="B19" s="3"/>
      <c r="C19" s="4" t="s">
        <v>17</v>
      </c>
    </row>
    <row r="20" spans="2:3" ht="27.95" customHeight="1" x14ac:dyDescent="0.25">
      <c r="B20" s="3"/>
      <c r="C20" s="4" t="s">
        <v>18</v>
      </c>
    </row>
    <row r="21" spans="2:3" ht="27.95" customHeight="1" x14ac:dyDescent="0.25">
      <c r="B21" s="3"/>
      <c r="C21" s="4" t="s">
        <v>19</v>
      </c>
    </row>
    <row r="22" spans="2:3" ht="15.95" customHeight="1" x14ac:dyDescent="0.25">
      <c r="B22" s="3"/>
      <c r="C22" s="4"/>
    </row>
    <row r="23" spans="2:3" ht="27.95" customHeight="1" x14ac:dyDescent="0.25">
      <c r="B23" s="3" t="s">
        <v>20</v>
      </c>
      <c r="C23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>
      <pane ySplit="4" topLeftCell="A8" activePane="bottomLeft" state="frozen"/>
      <selection pane="bottomLeft" activeCell="A4" sqref="A4"/>
    </sheetView>
  </sheetViews>
  <sheetFormatPr defaultRowHeight="15" x14ac:dyDescent="0.25"/>
  <cols>
    <col min="1" max="1" width="15" customWidth="1"/>
    <col min="2" max="2" width="26" customWidth="1"/>
    <col min="3" max="3" width="13" customWidth="1"/>
    <col min="4" max="6" width="11" customWidth="1"/>
    <col min="7" max="7" width="19.42578125" bestFit="1" customWidth="1"/>
    <col min="8" max="8" width="16" customWidth="1"/>
  </cols>
  <sheetData>
    <row r="1" spans="1:8" ht="20.25" x14ac:dyDescent="0.3">
      <c r="A1" s="1" t="s">
        <v>22</v>
      </c>
    </row>
    <row r="2" spans="1:8" x14ac:dyDescent="0.25">
      <c r="A2" s="2" t="s">
        <v>23</v>
      </c>
    </row>
    <row r="4" spans="1:8" ht="30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</row>
    <row r="5" spans="1:8" x14ac:dyDescent="0.25">
      <c r="A5" s="7" t="s">
        <v>32</v>
      </c>
      <c r="B5" s="7" t="s">
        <v>33</v>
      </c>
      <c r="C5" s="8">
        <v>46206</v>
      </c>
      <c r="D5" s="7" t="s">
        <v>34</v>
      </c>
      <c r="E5" s="7">
        <v>7</v>
      </c>
      <c r="F5" s="9">
        <v>150</v>
      </c>
      <c r="G5" s="10" t="str">
        <f>TRIM(_xlfn.TEXTBEFORE(B5,"-"))</f>
        <v>Meena Iyer</v>
      </c>
      <c r="H5" s="10" t="str">
        <f>TRIM(_xlfn.TEXTAFTER(B5,"-"))</f>
        <v>North</v>
      </c>
    </row>
    <row r="6" spans="1:8" x14ac:dyDescent="0.25">
      <c r="A6" s="7" t="s">
        <v>35</v>
      </c>
      <c r="B6" s="7" t="s">
        <v>36</v>
      </c>
      <c r="C6" s="8">
        <v>46209</v>
      </c>
      <c r="D6" s="7" t="s">
        <v>37</v>
      </c>
      <c r="E6" s="7"/>
      <c r="F6" s="9">
        <v>1200</v>
      </c>
      <c r="G6" s="10" t="str">
        <f t="shared" ref="G6:G19" si="0">TRIM(_xlfn.TEXTBEFORE(B6,"-"))</f>
        <v>ANANYA DAS</v>
      </c>
      <c r="H6" s="10" t="str">
        <f t="shared" ref="H6:H19" si="1">TRIM(_xlfn.TEXTAFTER(B6,"-"))</f>
        <v>north</v>
      </c>
    </row>
    <row r="7" spans="1:8" x14ac:dyDescent="0.25">
      <c r="A7" s="7" t="s">
        <v>38</v>
      </c>
      <c r="B7" s="7" t="s">
        <v>39</v>
      </c>
      <c r="C7" s="8">
        <v>46221</v>
      </c>
      <c r="D7" s="7" t="s">
        <v>40</v>
      </c>
      <c r="E7" s="7">
        <v>14</v>
      </c>
      <c r="F7" s="9">
        <v>3200</v>
      </c>
      <c r="G7" s="10" t="str">
        <f t="shared" si="0"/>
        <v>Aarav Sharma</v>
      </c>
      <c r="H7" s="10" t="str">
        <f t="shared" si="1"/>
        <v>South</v>
      </c>
    </row>
    <row r="8" spans="1:8" x14ac:dyDescent="0.25">
      <c r="A8" s="7" t="s">
        <v>41</v>
      </c>
      <c r="B8" s="7" t="s">
        <v>42</v>
      </c>
      <c r="C8" s="8">
        <v>46205</v>
      </c>
      <c r="D8" s="7" t="s">
        <v>34</v>
      </c>
      <c r="E8" s="7"/>
      <c r="F8" s="9">
        <v>150</v>
      </c>
      <c r="G8" s="10" t="str">
        <f t="shared" si="0"/>
        <v>Priya Verma</v>
      </c>
      <c r="H8" s="10" t="str">
        <f t="shared" si="1"/>
        <v>South</v>
      </c>
    </row>
    <row r="9" spans="1:8" x14ac:dyDescent="0.25">
      <c r="A9" s="7" t="s">
        <v>43</v>
      </c>
      <c r="B9" s="7" t="s">
        <v>44</v>
      </c>
      <c r="C9" s="8">
        <v>46205</v>
      </c>
      <c r="D9" s="7" t="s">
        <v>45</v>
      </c>
      <c r="E9" s="7"/>
      <c r="F9" s="9">
        <v>450</v>
      </c>
      <c r="G9" s="10" t="str">
        <f t="shared" si="0"/>
        <v>Karan Malhotra</v>
      </c>
      <c r="H9" s="10" t="str">
        <f t="shared" si="1"/>
        <v>North</v>
      </c>
    </row>
    <row r="10" spans="1:8" x14ac:dyDescent="0.25">
      <c r="A10" s="7" t="s">
        <v>46</v>
      </c>
      <c r="B10" s="7" t="s">
        <v>47</v>
      </c>
      <c r="C10" s="8">
        <v>46222</v>
      </c>
      <c r="D10" s="7" t="s">
        <v>37</v>
      </c>
      <c r="E10" s="7">
        <v>18</v>
      </c>
      <c r="F10" s="9">
        <v>1200</v>
      </c>
      <c r="G10" s="10" t="str">
        <f t="shared" si="0"/>
        <v>Sneha Kapoor</v>
      </c>
      <c r="H10" s="10" t="str">
        <f t="shared" si="1"/>
        <v>East</v>
      </c>
    </row>
    <row r="11" spans="1:8" x14ac:dyDescent="0.25">
      <c r="A11" s="7" t="s">
        <v>48</v>
      </c>
      <c r="B11" s="7" t="s">
        <v>49</v>
      </c>
      <c r="C11" s="8">
        <v>46221</v>
      </c>
      <c r="D11" s="7" t="s">
        <v>50</v>
      </c>
      <c r="E11" s="7">
        <v>2</v>
      </c>
      <c r="F11" s="9">
        <v>899</v>
      </c>
      <c r="G11" s="10" t="str">
        <f t="shared" si="0"/>
        <v>Meena Iyer</v>
      </c>
      <c r="H11" s="10" t="str">
        <f t="shared" si="1"/>
        <v>South</v>
      </c>
    </row>
    <row r="12" spans="1:8" x14ac:dyDescent="0.25">
      <c r="A12" s="7" t="s">
        <v>51</v>
      </c>
      <c r="B12" s="7" t="s">
        <v>52</v>
      </c>
      <c r="C12" s="8">
        <v>46209</v>
      </c>
      <c r="D12" s="7" t="s">
        <v>40</v>
      </c>
      <c r="E12" s="7">
        <v>10</v>
      </c>
      <c r="F12" s="9">
        <v>3200</v>
      </c>
      <c r="G12" s="10" t="str">
        <f t="shared" si="0"/>
        <v>Ananya Das</v>
      </c>
      <c r="H12" s="10" t="str">
        <f t="shared" si="1"/>
        <v>West</v>
      </c>
    </row>
    <row r="13" spans="1:8" x14ac:dyDescent="0.25">
      <c r="A13" s="7" t="s">
        <v>53</v>
      </c>
      <c r="B13" s="7" t="s">
        <v>54</v>
      </c>
      <c r="C13" s="8">
        <v>46214</v>
      </c>
      <c r="D13" s="7" t="s">
        <v>50</v>
      </c>
      <c r="E13" s="7"/>
      <c r="F13" s="9">
        <v>899</v>
      </c>
      <c r="G13" s="10" t="str">
        <f t="shared" si="0"/>
        <v>Ananya Das</v>
      </c>
      <c r="H13" s="10" t="str">
        <f t="shared" si="1"/>
        <v>South</v>
      </c>
    </row>
    <row r="14" spans="1:8" x14ac:dyDescent="0.25">
      <c r="A14" s="7" t="s">
        <v>55</v>
      </c>
      <c r="B14" s="7" t="s">
        <v>56</v>
      </c>
      <c r="C14" s="8">
        <v>46218</v>
      </c>
      <c r="D14" s="7" t="s">
        <v>34</v>
      </c>
      <c r="E14" s="7"/>
      <c r="F14" s="9">
        <v>150</v>
      </c>
      <c r="G14" s="10" t="str">
        <f t="shared" si="0"/>
        <v>PRIYA VERMA</v>
      </c>
      <c r="H14" s="10" t="str">
        <f t="shared" si="1"/>
        <v>east</v>
      </c>
    </row>
    <row r="15" spans="1:8" x14ac:dyDescent="0.25">
      <c r="A15" s="7" t="s">
        <v>57</v>
      </c>
      <c r="B15" s="7" t="s">
        <v>58</v>
      </c>
      <c r="C15" s="8">
        <v>46221</v>
      </c>
      <c r="D15" s="7" t="s">
        <v>50</v>
      </c>
      <c r="E15" s="7">
        <v>2</v>
      </c>
      <c r="F15" s="9">
        <v>899</v>
      </c>
      <c r="G15" s="10" t="str">
        <f t="shared" si="0"/>
        <v>Rohit Nair</v>
      </c>
      <c r="H15" s="10" t="str">
        <f t="shared" si="1"/>
        <v>West</v>
      </c>
    </row>
    <row r="16" spans="1:8" x14ac:dyDescent="0.25">
      <c r="A16" s="7" t="s">
        <v>51</v>
      </c>
      <c r="B16" s="7" t="s">
        <v>52</v>
      </c>
      <c r="C16" s="8">
        <v>46209</v>
      </c>
      <c r="D16" s="7" t="s">
        <v>40</v>
      </c>
      <c r="E16" s="7">
        <v>10</v>
      </c>
      <c r="F16" s="9">
        <v>3200</v>
      </c>
      <c r="G16" s="10" t="str">
        <f t="shared" si="0"/>
        <v>Ananya Das</v>
      </c>
      <c r="H16" s="10" t="str">
        <f t="shared" si="1"/>
        <v>West</v>
      </c>
    </row>
    <row r="17" spans="1:8" x14ac:dyDescent="0.25">
      <c r="A17" s="7" t="s">
        <v>59</v>
      </c>
      <c r="B17" s="7" t="s">
        <v>60</v>
      </c>
      <c r="C17" s="8">
        <v>46222</v>
      </c>
      <c r="D17" s="7" t="s">
        <v>34</v>
      </c>
      <c r="E17" s="7">
        <v>6</v>
      </c>
      <c r="F17" s="9">
        <v>150</v>
      </c>
      <c r="G17" s="10" t="str">
        <f t="shared" si="0"/>
        <v>Ananya Das</v>
      </c>
      <c r="H17" s="10" t="str">
        <f t="shared" si="1"/>
        <v>East</v>
      </c>
    </row>
    <row r="18" spans="1:8" x14ac:dyDescent="0.25">
      <c r="A18" s="7" t="s">
        <v>59</v>
      </c>
      <c r="B18" s="7" t="s">
        <v>60</v>
      </c>
      <c r="C18" s="8">
        <v>46222</v>
      </c>
      <c r="D18" s="7" t="s">
        <v>34</v>
      </c>
      <c r="E18" s="7">
        <v>6</v>
      </c>
      <c r="F18" s="9">
        <v>150</v>
      </c>
      <c r="G18" s="10" t="str">
        <f t="shared" si="0"/>
        <v>Ananya Das</v>
      </c>
      <c r="H18" s="10" t="str">
        <f t="shared" si="1"/>
        <v>East</v>
      </c>
    </row>
    <row r="19" spans="1:8" x14ac:dyDescent="0.25">
      <c r="A19" s="7" t="s">
        <v>43</v>
      </c>
      <c r="B19" s="7" t="s">
        <v>44</v>
      </c>
      <c r="C19" s="8">
        <v>46205</v>
      </c>
      <c r="D19" s="7" t="s">
        <v>45</v>
      </c>
      <c r="E19" s="7"/>
      <c r="F19" s="9">
        <v>450</v>
      </c>
      <c r="G19" s="10" t="str">
        <f t="shared" si="0"/>
        <v>Karan Malhotra</v>
      </c>
      <c r="H19" s="10" t="str">
        <f t="shared" si="1"/>
        <v>North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showGridLines="0" tabSelected="1" workbookViewId="0">
      <pane ySplit="4" topLeftCell="A5" activePane="bottomLeft" state="frozen"/>
      <selection pane="bottomLeft" activeCell="A35" sqref="A35"/>
    </sheetView>
  </sheetViews>
  <sheetFormatPr defaultRowHeight="15" x14ac:dyDescent="0.25"/>
  <cols>
    <col min="1" max="1" width="15" customWidth="1"/>
    <col min="2" max="3" width="20" customWidth="1"/>
    <col min="4" max="5" width="12" customWidth="1"/>
    <col min="6" max="6" width="13" customWidth="1"/>
    <col min="7" max="9" width="11" customWidth="1"/>
    <col min="10" max="10" width="13" customWidth="1"/>
  </cols>
  <sheetData>
    <row r="1" spans="1:13" ht="20.25" x14ac:dyDescent="0.3">
      <c r="A1" s="1" t="s">
        <v>61</v>
      </c>
    </row>
    <row r="2" spans="1:13" x14ac:dyDescent="0.25">
      <c r="A2" s="2" t="s">
        <v>62</v>
      </c>
      <c r="L2" s="11" t="s">
        <v>63</v>
      </c>
    </row>
    <row r="3" spans="1:13" x14ac:dyDescent="0.25">
      <c r="L3" s="3" t="s">
        <v>64</v>
      </c>
      <c r="M3">
        <f>SUMIF(E5:E30,E9,J5:J30)</f>
        <v>62430</v>
      </c>
    </row>
    <row r="4" spans="1:13" ht="30" x14ac:dyDescent="0.25">
      <c r="A4" s="6" t="s">
        <v>24</v>
      </c>
      <c r="B4" s="6" t="s">
        <v>65</v>
      </c>
      <c r="C4" s="6" t="s">
        <v>121</v>
      </c>
      <c r="D4" s="6" t="s">
        <v>66</v>
      </c>
      <c r="E4" s="6" t="s">
        <v>122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67</v>
      </c>
      <c r="L4" s="3" t="s">
        <v>68</v>
      </c>
      <c r="M4" s="12">
        <f>SUMIF(E5:E30,E5,J5:J30)</f>
        <v>11550</v>
      </c>
    </row>
    <row r="5" spans="1:13" x14ac:dyDescent="0.25">
      <c r="A5" s="7" t="s">
        <v>69</v>
      </c>
      <c r="B5" s="7" t="s">
        <v>70</v>
      </c>
      <c r="C5" s="7" t="str">
        <f>TRIM(B5)</f>
        <v>Aarav Sharma</v>
      </c>
      <c r="D5" s="7" t="s">
        <v>71</v>
      </c>
      <c r="E5" s="7" t="str">
        <f>PROPER(TRIM(D5))</f>
        <v>South</v>
      </c>
      <c r="F5" s="8">
        <v>46214</v>
      </c>
      <c r="G5" s="7" t="s">
        <v>34</v>
      </c>
      <c r="H5" s="7">
        <v>1</v>
      </c>
      <c r="I5" s="9">
        <v>150</v>
      </c>
      <c r="J5" s="7">
        <f>PRODUCT(H5,I5)</f>
        <v>150</v>
      </c>
      <c r="L5" s="3" t="s">
        <v>72</v>
      </c>
      <c r="M5" s="12">
        <f t="shared" ref="M5:M6" si="0">SUMIF(E6:E31,E6,J6:J31)</f>
        <v>11400</v>
      </c>
    </row>
    <row r="6" spans="1:13" x14ac:dyDescent="0.25">
      <c r="A6" s="7" t="s">
        <v>73</v>
      </c>
      <c r="B6" s="7" t="s">
        <v>74</v>
      </c>
      <c r="C6" s="7" t="str">
        <f>TRIM(B6)</f>
        <v>Karan Malhotra</v>
      </c>
      <c r="D6" s="7" t="s">
        <v>75</v>
      </c>
      <c r="E6" s="7" t="str">
        <f>PROPER(TRIM(D6))</f>
        <v>South</v>
      </c>
      <c r="F6" s="8">
        <v>46225</v>
      </c>
      <c r="G6" s="7" t="s">
        <v>37</v>
      </c>
      <c r="H6" s="7">
        <v>6</v>
      </c>
      <c r="I6" s="9">
        <v>1200</v>
      </c>
      <c r="J6" s="7">
        <f>PRODUCT(H6,I6)</f>
        <v>7200</v>
      </c>
      <c r="L6" s="3" t="s">
        <v>76</v>
      </c>
      <c r="M6" s="12">
        <f t="shared" si="0"/>
        <v>110005</v>
      </c>
    </row>
    <row r="7" spans="1:13" x14ac:dyDescent="0.25">
      <c r="A7" s="7" t="s">
        <v>77</v>
      </c>
      <c r="B7" s="7" t="s">
        <v>78</v>
      </c>
      <c r="C7" s="7" t="str">
        <f>TRIM(B7)</f>
        <v>Vivek Rao</v>
      </c>
      <c r="D7" s="7" t="s">
        <v>79</v>
      </c>
      <c r="E7" s="7" t="str">
        <f>PROPER(TRIM(D7))</f>
        <v>East</v>
      </c>
      <c r="F7" s="8">
        <v>46230</v>
      </c>
      <c r="G7" s="7" t="s">
        <v>34</v>
      </c>
      <c r="H7" s="7">
        <v>25</v>
      </c>
      <c r="I7" s="9">
        <v>150</v>
      </c>
      <c r="J7" s="7">
        <f>PRODUCT(H7,I7)</f>
        <v>3750</v>
      </c>
    </row>
    <row r="8" spans="1:13" x14ac:dyDescent="0.25">
      <c r="A8" s="7" t="s">
        <v>80</v>
      </c>
      <c r="B8" s="7" t="s">
        <v>74</v>
      </c>
      <c r="C8" s="7" t="str">
        <f>TRIM(B8)</f>
        <v>Karan Malhotra</v>
      </c>
      <c r="D8" s="7" t="s">
        <v>81</v>
      </c>
      <c r="E8" s="7" t="str">
        <f>PROPER(TRIM(D8))</f>
        <v>West</v>
      </c>
      <c r="F8" s="8">
        <v>46205</v>
      </c>
      <c r="G8" s="7" t="s">
        <v>37</v>
      </c>
      <c r="H8" s="7">
        <v>21</v>
      </c>
      <c r="I8" s="9">
        <v>1200</v>
      </c>
      <c r="J8" s="7">
        <f>PRODUCT(H8,I8)</f>
        <v>25200</v>
      </c>
    </row>
    <row r="9" spans="1:13" x14ac:dyDescent="0.25">
      <c r="A9" s="7" t="s">
        <v>82</v>
      </c>
      <c r="B9" s="7" t="s">
        <v>83</v>
      </c>
      <c r="C9" s="7" t="str">
        <f>TRIM(B9)</f>
        <v>Meena Iyer</v>
      </c>
      <c r="D9" s="7" t="s">
        <v>64</v>
      </c>
      <c r="E9" s="13" t="str">
        <f>PROPER(TRIM(D9))</f>
        <v>North</v>
      </c>
      <c r="F9" s="8">
        <v>46219</v>
      </c>
      <c r="G9" s="7" t="s">
        <v>50</v>
      </c>
      <c r="H9" s="7">
        <v>23</v>
      </c>
      <c r="I9" s="9">
        <v>899</v>
      </c>
      <c r="J9" s="7">
        <f>PRODUCT(H9,I9)</f>
        <v>20677</v>
      </c>
    </row>
    <row r="10" spans="1:13" x14ac:dyDescent="0.25">
      <c r="A10" s="7" t="s">
        <v>84</v>
      </c>
      <c r="B10" s="7" t="s">
        <v>85</v>
      </c>
      <c r="C10" s="7" t="str">
        <f>TRIM(B10)</f>
        <v>Imran Khan</v>
      </c>
      <c r="D10" s="7" t="s">
        <v>72</v>
      </c>
      <c r="E10" s="7" t="str">
        <f>PROPER(TRIM(D10))</f>
        <v>East</v>
      </c>
      <c r="F10" s="8">
        <v>46231</v>
      </c>
      <c r="G10" s="7" t="s">
        <v>40</v>
      </c>
      <c r="H10" s="7">
        <v>16</v>
      </c>
      <c r="I10" s="9">
        <v>3200</v>
      </c>
      <c r="J10" s="7">
        <f>PRODUCT(H10,I10)</f>
        <v>51200</v>
      </c>
    </row>
    <row r="11" spans="1:13" x14ac:dyDescent="0.25">
      <c r="A11" s="7" t="s">
        <v>86</v>
      </c>
      <c r="B11" s="7" t="s">
        <v>87</v>
      </c>
      <c r="C11" s="7" t="str">
        <f>TRIM(B11)</f>
        <v>Aarav Sharma</v>
      </c>
      <c r="D11" s="7" t="s">
        <v>88</v>
      </c>
      <c r="E11" s="7" t="str">
        <f>PROPER(TRIM(D11))</f>
        <v>East</v>
      </c>
      <c r="F11" s="8">
        <v>46215</v>
      </c>
      <c r="G11" s="7" t="s">
        <v>40</v>
      </c>
      <c r="H11" s="7">
        <v>1</v>
      </c>
      <c r="I11" s="9">
        <v>3200</v>
      </c>
      <c r="J11" s="7">
        <f>PRODUCT(H11,I11)</f>
        <v>3200</v>
      </c>
    </row>
    <row r="12" spans="1:13" x14ac:dyDescent="0.25">
      <c r="A12" s="7" t="s">
        <v>89</v>
      </c>
      <c r="B12" s="7" t="s">
        <v>90</v>
      </c>
      <c r="C12" s="7" t="str">
        <f>TRIM(B12)</f>
        <v>Fatima Sheikh</v>
      </c>
      <c r="D12" s="7" t="s">
        <v>91</v>
      </c>
      <c r="E12" s="7" t="str">
        <f>PROPER(TRIM(D12))</f>
        <v>North</v>
      </c>
      <c r="F12" s="8">
        <v>46232</v>
      </c>
      <c r="G12" s="7" t="s">
        <v>50</v>
      </c>
      <c r="H12" s="7">
        <v>18</v>
      </c>
      <c r="I12" s="9">
        <v>899</v>
      </c>
      <c r="J12" s="7">
        <f>PRODUCT(H12,I12)</f>
        <v>16182</v>
      </c>
    </row>
    <row r="13" spans="1:13" x14ac:dyDescent="0.25">
      <c r="A13" s="7" t="s">
        <v>92</v>
      </c>
      <c r="B13" s="7" t="s">
        <v>93</v>
      </c>
      <c r="C13" s="7" t="str">
        <f>TRIM(B13)</f>
        <v>Sneha Kapoor</v>
      </c>
      <c r="D13" s="7" t="s">
        <v>94</v>
      </c>
      <c r="E13" s="7" t="str">
        <f>PROPER(TRIM(D13))</f>
        <v>North</v>
      </c>
      <c r="F13" s="8">
        <v>46213</v>
      </c>
      <c r="G13" s="7" t="s">
        <v>95</v>
      </c>
      <c r="H13" s="7">
        <v>6</v>
      </c>
      <c r="I13" s="9">
        <v>75</v>
      </c>
      <c r="J13" s="7">
        <f>PRODUCT(H13,I13)</f>
        <v>450</v>
      </c>
    </row>
    <row r="14" spans="1:13" x14ac:dyDescent="0.25">
      <c r="A14" s="7" t="s">
        <v>96</v>
      </c>
      <c r="B14" s="7" t="s">
        <v>70</v>
      </c>
      <c r="C14" s="7" t="str">
        <f>TRIM(B14)</f>
        <v>Aarav Sharma</v>
      </c>
      <c r="D14" s="7" t="s">
        <v>97</v>
      </c>
      <c r="E14" s="7" t="str">
        <f>PROPER(TRIM(D14))</f>
        <v>South</v>
      </c>
      <c r="F14" s="8">
        <v>46216</v>
      </c>
      <c r="G14" s="7" t="s">
        <v>45</v>
      </c>
      <c r="H14" s="7">
        <v>8</v>
      </c>
      <c r="I14" s="9">
        <v>450</v>
      </c>
      <c r="J14" s="7">
        <f>PRODUCT(H14,I14)</f>
        <v>3600</v>
      </c>
    </row>
    <row r="15" spans="1:13" x14ac:dyDescent="0.25">
      <c r="A15" s="7" t="s">
        <v>98</v>
      </c>
      <c r="B15" s="7" t="s">
        <v>99</v>
      </c>
      <c r="C15" s="7" t="str">
        <f>TRIM(B15)</f>
        <v>Rohit Nair</v>
      </c>
      <c r="D15" s="7" t="s">
        <v>94</v>
      </c>
      <c r="E15" s="7" t="str">
        <f>PROPER(TRIM(D15))</f>
        <v>North</v>
      </c>
      <c r="F15" s="8">
        <v>46216</v>
      </c>
      <c r="G15" s="7" t="s">
        <v>95</v>
      </c>
      <c r="H15" s="7">
        <v>1</v>
      </c>
      <c r="I15" s="9">
        <v>75</v>
      </c>
      <c r="J15" s="7">
        <f>PRODUCT(H15,I15)</f>
        <v>75</v>
      </c>
    </row>
    <row r="16" spans="1:13" x14ac:dyDescent="0.25">
      <c r="A16" s="7" t="s">
        <v>100</v>
      </c>
      <c r="B16" s="7" t="s">
        <v>83</v>
      </c>
      <c r="C16" s="7" t="str">
        <f>TRIM(B16)</f>
        <v>Meena Iyer</v>
      </c>
      <c r="D16" s="7" t="s">
        <v>94</v>
      </c>
      <c r="E16" s="7" t="str">
        <f>PROPER(TRIM(D16))</f>
        <v>North</v>
      </c>
      <c r="F16" s="8">
        <v>46219</v>
      </c>
      <c r="G16" s="7" t="s">
        <v>40</v>
      </c>
      <c r="H16" s="7">
        <v>6</v>
      </c>
      <c r="I16" s="9">
        <v>3200</v>
      </c>
      <c r="J16" s="7">
        <f>PRODUCT(H16,I16)</f>
        <v>19200</v>
      </c>
    </row>
    <row r="17" spans="1:10" x14ac:dyDescent="0.25">
      <c r="A17" s="7" t="s">
        <v>101</v>
      </c>
      <c r="B17" s="7" t="s">
        <v>93</v>
      </c>
      <c r="C17" s="7" t="str">
        <f>TRIM(B17)</f>
        <v>Sneha Kapoor</v>
      </c>
      <c r="D17" s="7" t="s">
        <v>91</v>
      </c>
      <c r="E17" s="7" t="str">
        <f>PROPER(TRIM(D17))</f>
        <v>North</v>
      </c>
      <c r="F17" s="8">
        <v>46223</v>
      </c>
      <c r="G17" s="7" t="s">
        <v>50</v>
      </c>
      <c r="H17" s="7">
        <v>4</v>
      </c>
      <c r="I17" s="9">
        <v>899</v>
      </c>
      <c r="J17" s="7">
        <f>PRODUCT(H17,I17)</f>
        <v>3596</v>
      </c>
    </row>
    <row r="18" spans="1:10" x14ac:dyDescent="0.25">
      <c r="A18" s="7" t="s">
        <v>102</v>
      </c>
      <c r="B18" s="7" t="s">
        <v>93</v>
      </c>
      <c r="C18" s="7" t="str">
        <f>TRIM(B18)</f>
        <v>Sneha Kapoor</v>
      </c>
      <c r="D18" s="7" t="s">
        <v>79</v>
      </c>
      <c r="E18" s="7" t="str">
        <f>PROPER(TRIM(D18))</f>
        <v>East</v>
      </c>
      <c r="F18" s="8">
        <v>46219</v>
      </c>
      <c r="G18" s="7" t="s">
        <v>50</v>
      </c>
      <c r="H18" s="7">
        <v>20</v>
      </c>
      <c r="I18" s="9">
        <v>899</v>
      </c>
      <c r="J18" s="7">
        <f>PRODUCT(H18,I18)</f>
        <v>17980</v>
      </c>
    </row>
    <row r="19" spans="1:10" x14ac:dyDescent="0.25">
      <c r="A19" s="7" t="s">
        <v>103</v>
      </c>
      <c r="B19" s="7" t="s">
        <v>104</v>
      </c>
      <c r="C19" s="7" t="str">
        <f>TRIM(B19)</f>
        <v>Ananya Das</v>
      </c>
      <c r="D19" s="7" t="s">
        <v>64</v>
      </c>
      <c r="E19" s="7" t="str">
        <f>PROPER(TRIM(D19))</f>
        <v>North</v>
      </c>
      <c r="F19" s="8">
        <v>46208</v>
      </c>
      <c r="G19" s="7" t="s">
        <v>95</v>
      </c>
      <c r="H19" s="7">
        <v>20</v>
      </c>
      <c r="I19" s="9">
        <v>75</v>
      </c>
      <c r="J19" s="7">
        <f>PRODUCT(H19,I19)</f>
        <v>1500</v>
      </c>
    </row>
    <row r="20" spans="1:10" x14ac:dyDescent="0.25">
      <c r="A20" s="7" t="s">
        <v>105</v>
      </c>
      <c r="B20" s="7" t="s">
        <v>106</v>
      </c>
      <c r="C20" s="7" t="str">
        <f>TRIM(B20)</f>
        <v>Sneha Kapoor</v>
      </c>
      <c r="D20" s="7" t="s">
        <v>79</v>
      </c>
      <c r="E20" s="7" t="str">
        <f>PROPER(TRIM(D20))</f>
        <v>East</v>
      </c>
      <c r="F20" s="8">
        <v>46213</v>
      </c>
      <c r="G20" s="7" t="s">
        <v>107</v>
      </c>
      <c r="H20" s="7">
        <v>1</v>
      </c>
      <c r="I20" s="9">
        <v>2500</v>
      </c>
      <c r="J20" s="7">
        <f>PRODUCT(H20,I20)</f>
        <v>2500</v>
      </c>
    </row>
    <row r="21" spans="1:10" x14ac:dyDescent="0.25">
      <c r="A21" s="7" t="s">
        <v>108</v>
      </c>
      <c r="B21" s="7" t="s">
        <v>87</v>
      </c>
      <c r="C21" s="7" t="str">
        <f>TRIM(B21)</f>
        <v>Aarav Sharma</v>
      </c>
      <c r="D21" s="7" t="s">
        <v>72</v>
      </c>
      <c r="E21" s="7" t="str">
        <f>PROPER(TRIM(D21))</f>
        <v>East</v>
      </c>
      <c r="F21" s="8">
        <v>46216</v>
      </c>
      <c r="G21" s="7" t="s">
        <v>107</v>
      </c>
      <c r="H21" s="7">
        <v>1</v>
      </c>
      <c r="I21" s="9">
        <v>2500</v>
      </c>
      <c r="J21" s="7">
        <f>PRODUCT(H21,I21)</f>
        <v>2500</v>
      </c>
    </row>
    <row r="22" spans="1:10" x14ac:dyDescent="0.25">
      <c r="A22" s="7" t="s">
        <v>109</v>
      </c>
      <c r="B22" s="7" t="s">
        <v>99</v>
      </c>
      <c r="C22" s="7" t="str">
        <f>TRIM(B22)</f>
        <v>Rohit Nair</v>
      </c>
      <c r="D22" s="7" t="s">
        <v>110</v>
      </c>
      <c r="E22" s="7" t="str">
        <f>PROPER(TRIM(D22))</f>
        <v>West</v>
      </c>
      <c r="F22" s="8">
        <v>46216</v>
      </c>
      <c r="G22" s="7" t="s">
        <v>37</v>
      </c>
      <c r="H22" s="7">
        <v>13</v>
      </c>
      <c r="I22" s="9">
        <v>1200</v>
      </c>
      <c r="J22" s="7">
        <f>PRODUCT(H22,I22)</f>
        <v>15600</v>
      </c>
    </row>
    <row r="23" spans="1:10" x14ac:dyDescent="0.25">
      <c r="A23" s="7" t="s">
        <v>111</v>
      </c>
      <c r="B23" s="7" t="s">
        <v>112</v>
      </c>
      <c r="C23" s="7" t="str">
        <f>TRIM(B23)</f>
        <v>Priya Verma</v>
      </c>
      <c r="D23" s="7" t="s">
        <v>72</v>
      </c>
      <c r="E23" s="7" t="str">
        <f>PROPER(TRIM(D23))</f>
        <v>East</v>
      </c>
      <c r="F23" s="8">
        <v>46221</v>
      </c>
      <c r="G23" s="7" t="s">
        <v>40</v>
      </c>
      <c r="H23" s="7">
        <v>6</v>
      </c>
      <c r="I23" s="9">
        <v>3200</v>
      </c>
      <c r="J23" s="7">
        <f>PRODUCT(H23,I23)</f>
        <v>19200</v>
      </c>
    </row>
    <row r="24" spans="1:10" x14ac:dyDescent="0.25">
      <c r="A24" s="7" t="s">
        <v>113</v>
      </c>
      <c r="B24" s="7" t="s">
        <v>70</v>
      </c>
      <c r="C24" s="7" t="str">
        <f>TRIM(B24)</f>
        <v>Aarav Sharma</v>
      </c>
      <c r="D24" s="7" t="s">
        <v>64</v>
      </c>
      <c r="E24" s="7" t="str">
        <f>PROPER(TRIM(D24))</f>
        <v>North</v>
      </c>
      <c r="F24" s="8">
        <v>46215</v>
      </c>
      <c r="G24" s="7" t="s">
        <v>34</v>
      </c>
      <c r="H24" s="7">
        <v>5</v>
      </c>
      <c r="I24" s="9">
        <v>150</v>
      </c>
      <c r="J24" s="7">
        <f>PRODUCT(H24,I24)</f>
        <v>750</v>
      </c>
    </row>
    <row r="25" spans="1:10" x14ac:dyDescent="0.25">
      <c r="A25" s="7" t="s">
        <v>114</v>
      </c>
      <c r="B25" s="7" t="s">
        <v>90</v>
      </c>
      <c r="C25" s="7" t="str">
        <f>TRIM(B25)</f>
        <v>Fatima Sheikh</v>
      </c>
      <c r="D25" s="7" t="s">
        <v>115</v>
      </c>
      <c r="E25" s="7" t="str">
        <f>PROPER(TRIM(D25))</f>
        <v>East</v>
      </c>
      <c r="F25" s="8">
        <v>46219</v>
      </c>
      <c r="G25" s="7" t="s">
        <v>37</v>
      </c>
      <c r="H25" s="7">
        <v>8</v>
      </c>
      <c r="I25" s="9">
        <v>1200</v>
      </c>
      <c r="J25" s="7">
        <f>PRODUCT(H25,I25)</f>
        <v>9600</v>
      </c>
    </row>
    <row r="26" spans="1:10" x14ac:dyDescent="0.25">
      <c r="A26" s="7" t="s">
        <v>116</v>
      </c>
      <c r="B26" s="7" t="s">
        <v>83</v>
      </c>
      <c r="C26" s="7" t="str">
        <f>TRIM(B26)</f>
        <v>Meena Iyer</v>
      </c>
      <c r="D26" s="7" t="s">
        <v>88</v>
      </c>
      <c r="E26" s="7" t="str">
        <f>PROPER(TRIM(D26))</f>
        <v>East</v>
      </c>
      <c r="F26" s="8">
        <v>46204</v>
      </c>
      <c r="G26" s="7" t="s">
        <v>95</v>
      </c>
      <c r="H26" s="7">
        <v>1</v>
      </c>
      <c r="I26" s="9">
        <v>75</v>
      </c>
      <c r="J26" s="7">
        <f>PRODUCT(H26,I26)</f>
        <v>75</v>
      </c>
    </row>
    <row r="27" spans="1:10" x14ac:dyDescent="0.25">
      <c r="A27" s="7" t="s">
        <v>117</v>
      </c>
      <c r="B27" s="7" t="s">
        <v>90</v>
      </c>
      <c r="C27" s="7" t="str">
        <f>TRIM(B27)</f>
        <v>Fatima Sheikh</v>
      </c>
      <c r="D27" s="7" t="s">
        <v>81</v>
      </c>
      <c r="E27" s="7" t="str">
        <f>PROPER(TRIM(D27))</f>
        <v>West</v>
      </c>
      <c r="F27" s="8">
        <v>46207</v>
      </c>
      <c r="G27" s="7" t="s">
        <v>50</v>
      </c>
      <c r="H27" s="7">
        <v>10</v>
      </c>
      <c r="I27" s="9">
        <v>899</v>
      </c>
      <c r="J27" s="7">
        <f>PRODUCT(H27,I27)</f>
        <v>8990</v>
      </c>
    </row>
    <row r="28" spans="1:10" x14ac:dyDescent="0.25">
      <c r="A28" s="7" t="s">
        <v>118</v>
      </c>
      <c r="B28" s="7" t="s">
        <v>74</v>
      </c>
      <c r="C28" s="7" t="str">
        <f>TRIM(B28)</f>
        <v>Karan Malhotra</v>
      </c>
      <c r="D28" s="7" t="s">
        <v>75</v>
      </c>
      <c r="E28" s="7" t="str">
        <f>PROPER(TRIM(D28))</f>
        <v>South</v>
      </c>
      <c r="F28" s="8">
        <v>46204</v>
      </c>
      <c r="G28" s="7" t="s">
        <v>34</v>
      </c>
      <c r="H28" s="7">
        <v>1</v>
      </c>
      <c r="I28" s="9">
        <v>150</v>
      </c>
      <c r="J28" s="7">
        <f>PRODUCT(H28,I28)</f>
        <v>150</v>
      </c>
    </row>
    <row r="29" spans="1:10" x14ac:dyDescent="0.25">
      <c r="A29" s="7" t="s">
        <v>119</v>
      </c>
      <c r="B29" s="7" t="s">
        <v>99</v>
      </c>
      <c r="C29" s="7" t="str">
        <f>TRIM(B29)</f>
        <v>Rohit Nair</v>
      </c>
      <c r="D29" s="7" t="s">
        <v>76</v>
      </c>
      <c r="E29" s="7" t="str">
        <f>PROPER(TRIM(D29))</f>
        <v>West</v>
      </c>
      <c r="F29" s="8">
        <v>46225</v>
      </c>
      <c r="G29" s="7" t="s">
        <v>40</v>
      </c>
      <c r="H29" s="7">
        <v>14</v>
      </c>
      <c r="I29" s="9">
        <v>3200</v>
      </c>
      <c r="J29" s="7">
        <f>PRODUCT(H29,I29)</f>
        <v>44800</v>
      </c>
    </row>
    <row r="30" spans="1:10" x14ac:dyDescent="0.25">
      <c r="A30" s="7" t="s">
        <v>120</v>
      </c>
      <c r="B30" s="7" t="s">
        <v>112</v>
      </c>
      <c r="C30" s="7" t="str">
        <f>TRIM(B30)</f>
        <v>Priya Verma</v>
      </c>
      <c r="D30" s="7" t="s">
        <v>75</v>
      </c>
      <c r="E30" s="7" t="str">
        <f>PROPER(TRIM(D30))</f>
        <v>South</v>
      </c>
      <c r="F30" s="8">
        <v>46232</v>
      </c>
      <c r="G30" s="7" t="s">
        <v>45</v>
      </c>
      <c r="H30" s="7">
        <v>1</v>
      </c>
      <c r="I30" s="9">
        <v>450</v>
      </c>
      <c r="J30" s="7">
        <f>PRODUCT(H30,I30)</f>
        <v>450</v>
      </c>
    </row>
  </sheetData>
  <autoFilter ref="A4:J30" xr:uid="{00000000-0001-0000-0200-000000000000}"/>
  <dataValidations count="1">
    <dataValidation type="list" allowBlank="1" errorTitle="Invalid Region" error="Please choose a value from the list: North, South, East, West" promptTitle="Region" prompt="Choose a region from the dropdown" sqref="M7:M34" xr:uid="{00000000-0002-0000-0200-000000000000}">
      <formula1>$L$3:$L$6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77EEC45-7E9E-40EB-901D-1F9C9F2FE7FC}">
            <xm:f>NOT(ISERROR(SEARCH($E$9,L26)))</xm:f>
            <xm:f>$E$9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containsText" priority="1" operator="containsText" id="{E3E38918-29A9-47B1-BB5C-244478AAEE47}">
            <xm:f>NOT(ISERROR(SEARCH($E$9,A4)))</xm:f>
            <xm:f>$E$9</xm:f>
            <x14:dxf>
              <fill>
                <patternFill>
                  <bgColor rgb="FFFFFF00"/>
                </patternFill>
              </fill>
            </x14:dxf>
          </x14:cfRule>
          <xm:sqref>A4:J30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Messy_15_MiniExercise</vt:lpstr>
      <vt:lpstr>Messy_30_Assignment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Yuvaraja TR</cp:lastModifiedBy>
  <dcterms:created xsi:type="dcterms:W3CDTF">2026-08-20T11:46:28Z</dcterms:created>
  <dcterms:modified xsi:type="dcterms:W3CDTF">2026-09-16T00:59:46Z</dcterms:modified>
</cp:coreProperties>
</file>